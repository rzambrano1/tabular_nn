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zamb\Documents\tabular_nn\"/>
    </mc:Choice>
  </mc:AlternateContent>
  <xr:revisionPtr revIDLastSave="0" documentId="13_ncr:1_{80BF998F-C419-47BB-A40B-11F045FBC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s" sheetId="1" r:id="rId1"/>
    <sheet name="non_TS_datasets" sheetId="2" r:id="rId2"/>
  </sheets>
  <definedNames>
    <definedName name="_xlnm._FilterDatabase" localSheetId="0" hidden="1">datasets!$A$2:$V$35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1" i="2"/>
  <c r="C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E24" i="1"/>
  <c r="E23" i="1"/>
  <c r="E22" i="1"/>
  <c r="E21" i="1"/>
  <c r="E20" i="1"/>
  <c r="E19" i="1"/>
  <c r="I29" i="1"/>
  <c r="I28" i="1"/>
  <c r="I27" i="1"/>
  <c r="G29" i="1"/>
  <c r="E29" i="1" s="1"/>
  <c r="G28" i="1"/>
  <c r="E28" i="1" s="1"/>
  <c r="G27" i="1"/>
  <c r="E26" i="1"/>
  <c r="E2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  <c r="B1" i="1"/>
  <c r="E27" i="1" l="1"/>
</calcChain>
</file>

<file path=xl/sharedStrings.xml><?xml version="1.0" encoding="utf-8"?>
<sst xmlns="http://schemas.openxmlformats.org/spreadsheetml/2006/main" count="726" uniqueCount="111">
  <si>
    <t>AB</t>
  </si>
  <si>
    <t>Abalone</t>
  </si>
  <si>
    <t>Regression</t>
  </si>
  <si>
    <t>AD</t>
  </si>
  <si>
    <t>Adult</t>
  </si>
  <si>
    <t>Binclass</t>
  </si>
  <si>
    <t>BU</t>
  </si>
  <si>
    <t>Buddy</t>
  </si>
  <si>
    <t>Multiclass</t>
  </si>
  <si>
    <t>CA</t>
  </si>
  <si>
    <t>CAR</t>
  </si>
  <si>
    <t>Cardio</t>
  </si>
  <si>
    <t>CH</t>
  </si>
  <si>
    <t>DE</t>
  </si>
  <si>
    <t>DI</t>
  </si>
  <si>
    <t>FB</t>
  </si>
  <si>
    <t>GE</t>
  </si>
  <si>
    <t>HI</t>
  </si>
  <si>
    <t>HO</t>
  </si>
  <si>
    <t>IN</t>
  </si>
  <si>
    <t>Insurance</t>
  </si>
  <si>
    <t>KI</t>
  </si>
  <si>
    <t>King</t>
  </si>
  <si>
    <t>MI</t>
  </si>
  <si>
    <t>MiniBooNE</t>
  </si>
  <si>
    <t>WI</t>
  </si>
  <si>
    <t>Wilt</t>
  </si>
  <si>
    <t>California Housing</t>
  </si>
  <si>
    <t>Churn Modeling</t>
  </si>
  <si>
    <t>Facebook Comm. Vol.</t>
  </si>
  <si>
    <t>Gesture Phase</t>
  </si>
  <si>
    <t>Higgs Small</t>
  </si>
  <si>
    <t>House 16H</t>
  </si>
  <si>
    <t>Abbreviation</t>
  </si>
  <si>
    <t>Dataset Name</t>
  </si>
  <si>
    <t>n Train Set</t>
  </si>
  <si>
    <t>n Validation Set</t>
  </si>
  <si>
    <t>Task Type</t>
  </si>
  <si>
    <t>n Test Set</t>
  </si>
  <si>
    <t>Numeric Variables</t>
  </si>
  <si>
    <t>Categorical Variables</t>
  </si>
  <si>
    <t>TabDDPM</t>
  </si>
  <si>
    <t>TabSyn</t>
  </si>
  <si>
    <t>TabDiff</t>
  </si>
  <si>
    <t>TabularARGN</t>
  </si>
  <si>
    <t>CTTVAE</t>
  </si>
  <si>
    <t>GEM-T</t>
  </si>
  <si>
    <t xml:space="preserve"> TabDiT</t>
  </si>
  <si>
    <t>ADAPT-RL</t>
  </si>
  <si>
    <t>Yes</t>
  </si>
  <si>
    <t>n Data Set</t>
  </si>
  <si>
    <t>Age2</t>
  </si>
  <si>
    <t>Age1</t>
  </si>
  <si>
    <t>PKDD'99 Financial</t>
  </si>
  <si>
    <t>Rossmann Store Sales</t>
  </si>
  <si>
    <t>AirnBnB New User Bookings</t>
  </si>
  <si>
    <t>n Time Series</t>
  </si>
  <si>
    <t xml:space="preserve"> -</t>
  </si>
  <si>
    <t>Time Series Fields</t>
  </si>
  <si>
    <t>ACS-income</t>
  </si>
  <si>
    <t>Baseball</t>
  </si>
  <si>
    <t xml:space="preserve">California  </t>
  </si>
  <si>
    <t>Berka</t>
  </si>
  <si>
    <t>CR</t>
  </si>
  <si>
    <t xml:space="preserve">Credit Card Fraud Detection </t>
  </si>
  <si>
    <t>MA</t>
  </si>
  <si>
    <t>Machine Predictive Maintenance</t>
  </si>
  <si>
    <t>VE</t>
  </si>
  <si>
    <t>Vehicle Insurance Claims</t>
  </si>
  <si>
    <t>Beijing</t>
  </si>
  <si>
    <t>News</t>
  </si>
  <si>
    <t>Classification</t>
  </si>
  <si>
    <t>Target</t>
  </si>
  <si>
    <t>Exited</t>
  </si>
  <si>
    <t>Income</t>
  </si>
  <si>
    <t>Default Patment Next Month</t>
  </si>
  <si>
    <t>Class</t>
  </si>
  <si>
    <t>FraudFound_P</t>
  </si>
  <si>
    <t>Magic [Gamma Telescope]</t>
  </si>
  <si>
    <t>Diabetes [130-US Hospitals]</t>
  </si>
  <si>
    <t>Default [of Credit Card Clients]</t>
  </si>
  <si>
    <t>[Online] Shoopers [Purchasing Intention]</t>
  </si>
  <si>
    <t>Source</t>
  </si>
  <si>
    <t>archive.ics.uci.edu</t>
  </si>
  <si>
    <t>kaggle.com/datasets</t>
  </si>
  <si>
    <t>Beijing [air quality / PM2.5]</t>
  </si>
  <si>
    <t>openml.org</t>
  </si>
  <si>
    <t>Leaving [employee attrition variant]</t>
  </si>
  <si>
    <t>News [OnlineNewsPopularity]</t>
  </si>
  <si>
    <t>sklearn.datasets.fetch_california_housing()</t>
  </si>
  <si>
    <t>Folktables library</t>
  </si>
  <si>
    <t>relational-data.org</t>
  </si>
  <si>
    <t>Abbr.</t>
  </si>
  <si>
    <t>URL</t>
  </si>
  <si>
    <t>https://archive.ics.uci.edu/dataset/2/adult</t>
  </si>
  <si>
    <t>https://archive.ics.uci.edu/dataset/1/abalone</t>
  </si>
  <si>
    <t>https://archive.ics.uci.edu/dataset/350/default+of+credit+card+clients</t>
  </si>
  <si>
    <t>https://archive.ics.uci.edu/dataset/159/magic+gamma+telescope</t>
  </si>
  <si>
    <t>https://archive.ics.uci.edu/dataset/468/online+shoppers+purchasing+intention+dataset</t>
  </si>
  <si>
    <t>https://archive.ics.uci.edu/dataset/302/gesture+phase+segmentation</t>
  </si>
  <si>
    <t>https://www.kaggle.com/datasets/akash14/adopt-a-buddy?resource=download</t>
  </si>
  <si>
    <t>https://www.kaggle.com/datasets/shivan118/churn-modeling-dataset</t>
  </si>
  <si>
    <t>https://www.kaggle.com/datasets/harlfoxem/housesalesprediction</t>
  </si>
  <si>
    <t>https://www.kaggle.com/datasets/sid321axn/beijing-multisite-airquality-data-set</t>
  </si>
  <si>
    <t>https://www.kaggle.com/datasets/mlg-ulb/creditcardfraud</t>
  </si>
  <si>
    <t>https://www.kaggle.com/datasets/shivamb/machine-predictive-maintenance-classification</t>
  </si>
  <si>
    <t>https://www.kaggle.com/datasets/shivamb/vehicle-claim-fraud-detection</t>
  </si>
  <si>
    <t>https://archive.ics.uci.edu/dataset/296/diabetes+130-us+hospitals+for+years+1999-2008</t>
  </si>
  <si>
    <t>https://www.openml.org/search?type=data&amp;status=active&amp;id=42724</t>
  </si>
  <si>
    <t>https://www.kaggle.com/datasets/ziya07/employee-attrition-prediction-dataset</t>
  </si>
  <si>
    <t>https://www.kaggle.com/datasets/willianoliveiragibin/healthcare-insurance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</si>
</sst>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shivan118/churn-modeling-dataset" TargetMode="External"/><Relationship Id="rId13" Type="http://schemas.openxmlformats.org/officeDocument/2006/relationships/hyperlink" Target="https://www.kaggle.com/datasets/shivamb/vehicle-claim-fraud-detection" TargetMode="External"/><Relationship Id="rId3" Type="http://schemas.openxmlformats.org/officeDocument/2006/relationships/hyperlink" Target="https://archive.ics.uci.edu/dataset/350/default+of+credit+card+clients" TargetMode="External"/><Relationship Id="rId7" Type="http://schemas.openxmlformats.org/officeDocument/2006/relationships/hyperlink" Target="https://www.kaggle.com/datasets/akash14/adopt-a-buddy?resource=download" TargetMode="External"/><Relationship Id="rId12" Type="http://schemas.openxmlformats.org/officeDocument/2006/relationships/hyperlink" Target="https://www.kaggle.com/datasets/shivamb/machine-predictive-maintenance-classification" TargetMode="External"/><Relationship Id="rId2" Type="http://schemas.openxmlformats.org/officeDocument/2006/relationships/hyperlink" Target="https://archive.ics.uci.edu/dataset/1/abalone" TargetMode="External"/><Relationship Id="rId16" Type="http://schemas.openxmlformats.org/officeDocument/2006/relationships/hyperlink" Target="https://www.kaggle.com/datasets/willianoliveiragibin/healthcare-insurance" TargetMode="External"/><Relationship Id="rId1" Type="http://schemas.openxmlformats.org/officeDocument/2006/relationships/hyperlink" Target="https://archive.ics.uci.edu/dataset/2/adult" TargetMode="External"/><Relationship Id="rId6" Type="http://schemas.openxmlformats.org/officeDocument/2006/relationships/hyperlink" Target="https://archive.ics.uci.edu/dataset/302/gesture+phase+segmentation" TargetMode="External"/><Relationship Id="rId11" Type="http://schemas.openxmlformats.org/officeDocument/2006/relationships/hyperlink" Target="https://www.kaggle.com/datasets/mlg-ulb/creditcardfraud" TargetMode="External"/><Relationship Id="rId5" Type="http://schemas.openxmlformats.org/officeDocument/2006/relationships/hyperlink" Target="https://archive.ics.uci.edu/dataset/468/online+shoppers+purchasing+intention+dataset" TargetMode="External"/><Relationship Id="rId15" Type="http://schemas.openxmlformats.org/officeDocument/2006/relationships/hyperlink" Target="https://www.openml.org/search?type=data&amp;status=active&amp;id=42724" TargetMode="External"/><Relationship Id="rId10" Type="http://schemas.openxmlformats.org/officeDocument/2006/relationships/hyperlink" Target="https://www.kaggle.com/datasets/sid321axn/beijing-multisite-airquality-data-set" TargetMode="External"/><Relationship Id="rId4" Type="http://schemas.openxmlformats.org/officeDocument/2006/relationships/hyperlink" Target="https://archive.ics.uci.edu/dataset/159/magic+gamma+telescope" TargetMode="External"/><Relationship Id="rId9" Type="http://schemas.openxmlformats.org/officeDocument/2006/relationships/hyperlink" Target="https://www.kaggle.com/datasets/harlfoxem/housesalesprediction" TargetMode="External"/><Relationship Id="rId14" Type="http://schemas.openxmlformats.org/officeDocument/2006/relationships/hyperlink" Target="https://archive.ics.uci.edu/dataset/296/diabetes+130-us+hospitals+for+years+1999-2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pane ySplit="2" topLeftCell="A3" activePane="bottomLeft" state="frozen"/>
      <selection pane="bottomLeft" activeCell="F13" sqref="F13"/>
    </sheetView>
  </sheetViews>
  <sheetFormatPr defaultRowHeight="15" x14ac:dyDescent="0.25"/>
  <cols>
    <col min="1" max="1" width="5.85546875" bestFit="1" customWidth="1"/>
    <col min="2" max="2" width="31.5703125" customWidth="1"/>
    <col min="3" max="4" width="21.42578125" customWidth="1"/>
    <col min="5" max="12" width="10.7109375" customWidth="1"/>
    <col min="13" max="13" width="12.7109375" bestFit="1" customWidth="1"/>
    <col min="14" max="14" width="17.28515625" style="2" customWidth="1"/>
    <col min="15" max="15" width="9.7109375" bestFit="1" customWidth="1"/>
    <col min="16" max="16" width="7.28515625" bestFit="1" customWidth="1"/>
    <col min="17" max="17" width="7.42578125" bestFit="1" customWidth="1"/>
    <col min="18" max="18" width="12.85546875" bestFit="1" customWidth="1"/>
    <col min="19" max="19" width="7.7109375" bestFit="1" customWidth="1"/>
    <col min="20" max="20" width="7" bestFit="1" customWidth="1"/>
    <col min="21" max="21" width="7.42578125" bestFit="1" customWidth="1"/>
    <col min="22" max="22" width="9.7109375" bestFit="1" customWidth="1"/>
  </cols>
  <sheetData>
    <row r="1" spans="1:22" x14ac:dyDescent="0.25">
      <c r="A1" s="1">
        <v>1</v>
      </c>
      <c r="B1" s="1">
        <f>+A1+1</f>
        <v>2</v>
      </c>
      <c r="C1" s="1">
        <f t="shared" ref="C1:V1" si="0">+B1+1</f>
        <v>3</v>
      </c>
      <c r="D1" s="1">
        <f t="shared" si="0"/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</row>
    <row r="2" spans="1:22" ht="30" x14ac:dyDescent="0.25">
      <c r="A2" s="11" t="s">
        <v>92</v>
      </c>
      <c r="B2" s="11" t="s">
        <v>34</v>
      </c>
      <c r="C2" s="11" t="s">
        <v>82</v>
      </c>
      <c r="D2" s="11" t="s">
        <v>93</v>
      </c>
      <c r="E2" s="12" t="s">
        <v>50</v>
      </c>
      <c r="F2" s="12" t="s">
        <v>56</v>
      </c>
      <c r="G2" s="12" t="s">
        <v>35</v>
      </c>
      <c r="H2" s="13" t="s">
        <v>36</v>
      </c>
      <c r="I2" s="12" t="s">
        <v>38</v>
      </c>
      <c r="J2" s="12" t="s">
        <v>39</v>
      </c>
      <c r="K2" s="12" t="s">
        <v>40</v>
      </c>
      <c r="L2" s="13" t="s">
        <v>58</v>
      </c>
      <c r="M2" s="11" t="s">
        <v>37</v>
      </c>
      <c r="N2" s="12" t="s">
        <v>72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</row>
    <row r="3" spans="1:22" x14ac:dyDescent="0.25">
      <c r="A3" s="5" t="s">
        <v>0</v>
      </c>
      <c r="B3" s="9" t="s">
        <v>1</v>
      </c>
      <c r="C3" s="9" t="s">
        <v>83</v>
      </c>
      <c r="D3" s="14" t="s">
        <v>95</v>
      </c>
      <c r="E3" s="6">
        <f>SUM(G3:I3)</f>
        <v>4177</v>
      </c>
      <c r="F3" s="6" t="s">
        <v>57</v>
      </c>
      <c r="G3" s="6">
        <v>2672</v>
      </c>
      <c r="H3" s="6">
        <v>669</v>
      </c>
      <c r="I3" s="6">
        <v>836</v>
      </c>
      <c r="J3" s="7">
        <v>7</v>
      </c>
      <c r="K3" s="7">
        <v>1</v>
      </c>
      <c r="L3" s="6" t="s">
        <v>57</v>
      </c>
      <c r="M3" s="5" t="s">
        <v>2</v>
      </c>
      <c r="N3" s="7"/>
      <c r="O3" s="7" t="s">
        <v>49</v>
      </c>
      <c r="P3" s="6" t="s">
        <v>57</v>
      </c>
      <c r="Q3" s="7"/>
      <c r="R3" s="6" t="s">
        <v>57</v>
      </c>
      <c r="S3" s="6" t="s">
        <v>57</v>
      </c>
      <c r="T3" s="7" t="s">
        <v>49</v>
      </c>
      <c r="U3" s="6" t="s">
        <v>57</v>
      </c>
      <c r="V3" s="7"/>
    </row>
    <row r="4" spans="1:22" x14ac:dyDescent="0.25">
      <c r="A4" s="5" t="s">
        <v>3</v>
      </c>
      <c r="B4" s="9" t="s">
        <v>4</v>
      </c>
      <c r="C4" s="9" t="s">
        <v>83</v>
      </c>
      <c r="D4" s="14" t="s">
        <v>94</v>
      </c>
      <c r="E4" s="6">
        <f>SUM(G4:I4)</f>
        <v>48842</v>
      </c>
      <c r="F4" s="6" t="s">
        <v>57</v>
      </c>
      <c r="G4" s="6">
        <v>26048</v>
      </c>
      <c r="H4" s="6">
        <v>6513</v>
      </c>
      <c r="I4" s="6">
        <v>16281</v>
      </c>
      <c r="J4" s="7">
        <v>6</v>
      </c>
      <c r="K4" s="7">
        <v>8</v>
      </c>
      <c r="L4" s="6" t="s">
        <v>57</v>
      </c>
      <c r="M4" s="5" t="s">
        <v>5</v>
      </c>
      <c r="N4" s="7" t="s">
        <v>74</v>
      </c>
      <c r="O4" s="7" t="s">
        <v>49</v>
      </c>
      <c r="P4" s="7" t="s">
        <v>49</v>
      </c>
      <c r="Q4" s="7" t="s">
        <v>49</v>
      </c>
      <c r="R4" s="7" t="s">
        <v>49</v>
      </c>
      <c r="S4" s="7" t="s">
        <v>49</v>
      </c>
      <c r="T4" s="7" t="s">
        <v>49</v>
      </c>
      <c r="U4" s="6" t="s">
        <v>57</v>
      </c>
      <c r="V4" s="7"/>
    </row>
    <row r="5" spans="1:22" x14ac:dyDescent="0.25">
      <c r="A5" s="5" t="s">
        <v>6</v>
      </c>
      <c r="B5" s="5" t="s">
        <v>7</v>
      </c>
      <c r="C5" s="5" t="s">
        <v>84</v>
      </c>
      <c r="D5" s="14" t="s">
        <v>100</v>
      </c>
      <c r="E5" s="6">
        <f>SUM(G5:I5)</f>
        <v>18834</v>
      </c>
      <c r="F5" s="6" t="s">
        <v>57</v>
      </c>
      <c r="G5" s="6">
        <v>12053</v>
      </c>
      <c r="H5" s="6">
        <v>3014</v>
      </c>
      <c r="I5" s="6">
        <v>3767</v>
      </c>
      <c r="J5" s="7">
        <v>4</v>
      </c>
      <c r="K5" s="7">
        <v>5</v>
      </c>
      <c r="L5" s="6" t="s">
        <v>57</v>
      </c>
      <c r="M5" s="5" t="s">
        <v>8</v>
      </c>
      <c r="N5" s="7"/>
      <c r="O5" s="7" t="s">
        <v>49</v>
      </c>
      <c r="P5" s="6" t="s">
        <v>57</v>
      </c>
      <c r="Q5" s="7"/>
      <c r="R5" s="6" t="s">
        <v>57</v>
      </c>
      <c r="S5" s="6" t="s">
        <v>57</v>
      </c>
      <c r="T5" s="6" t="s">
        <v>57</v>
      </c>
      <c r="U5" s="6" t="s">
        <v>57</v>
      </c>
      <c r="V5" s="7"/>
    </row>
    <row r="6" spans="1:22" x14ac:dyDescent="0.25">
      <c r="A6" s="5" t="s">
        <v>9</v>
      </c>
      <c r="B6" s="10" t="s">
        <v>27</v>
      </c>
      <c r="C6" s="10" t="s">
        <v>89</v>
      </c>
      <c r="D6" s="10"/>
      <c r="E6" s="6">
        <f>SUM(G6:I6)</f>
        <v>20640</v>
      </c>
      <c r="F6" s="6" t="s">
        <v>57</v>
      </c>
      <c r="G6" s="6">
        <v>13209</v>
      </c>
      <c r="H6" s="6">
        <v>3303</v>
      </c>
      <c r="I6" s="6">
        <v>4128</v>
      </c>
      <c r="J6" s="7">
        <v>8</v>
      </c>
      <c r="K6" s="7">
        <v>0</v>
      </c>
      <c r="L6" s="6" t="s">
        <v>57</v>
      </c>
      <c r="M6" s="5" t="s">
        <v>2</v>
      </c>
      <c r="N6" s="7"/>
      <c r="O6" s="7" t="s">
        <v>49</v>
      </c>
      <c r="P6" s="6" t="s">
        <v>57</v>
      </c>
      <c r="Q6" s="7"/>
      <c r="R6" s="6" t="s">
        <v>57</v>
      </c>
      <c r="S6" s="6" t="s">
        <v>57</v>
      </c>
      <c r="T6" s="6" t="s">
        <v>57</v>
      </c>
      <c r="U6" s="6" t="s">
        <v>57</v>
      </c>
      <c r="V6" s="7"/>
    </row>
    <row r="7" spans="1:22" x14ac:dyDescent="0.25">
      <c r="A7" s="5" t="s">
        <v>10</v>
      </c>
      <c r="B7" s="10" t="s">
        <v>11</v>
      </c>
      <c r="C7" s="10" t="s">
        <v>84</v>
      </c>
      <c r="D7" s="10"/>
      <c r="E7" s="6">
        <f>SUM(G7:I7)</f>
        <v>70000</v>
      </c>
      <c r="F7" s="6" t="s">
        <v>57</v>
      </c>
      <c r="G7" s="6">
        <v>44800</v>
      </c>
      <c r="H7" s="6">
        <v>11200</v>
      </c>
      <c r="I7" s="6">
        <v>14000</v>
      </c>
      <c r="J7" s="7">
        <v>5</v>
      </c>
      <c r="K7" s="7">
        <v>6</v>
      </c>
      <c r="L7" s="6" t="s">
        <v>57</v>
      </c>
      <c r="M7" s="5" t="s">
        <v>5</v>
      </c>
      <c r="N7" s="7"/>
      <c r="O7" s="7" t="s">
        <v>49</v>
      </c>
      <c r="P7" s="6" t="s">
        <v>57</v>
      </c>
      <c r="Q7" s="7"/>
      <c r="R7" s="6" t="s">
        <v>57</v>
      </c>
      <c r="S7" s="6" t="s">
        <v>57</v>
      </c>
      <c r="T7" s="6" t="s">
        <v>57</v>
      </c>
      <c r="U7" s="6" t="s">
        <v>57</v>
      </c>
      <c r="V7" s="7"/>
    </row>
    <row r="8" spans="1:22" x14ac:dyDescent="0.25">
      <c r="A8" s="5" t="s">
        <v>12</v>
      </c>
      <c r="B8" s="9" t="s">
        <v>28</v>
      </c>
      <c r="C8" s="9" t="s">
        <v>84</v>
      </c>
      <c r="D8" s="14" t="s">
        <v>101</v>
      </c>
      <c r="E8" s="6">
        <f>SUM(G8:I8)</f>
        <v>10000</v>
      </c>
      <c r="F8" s="6" t="s">
        <v>57</v>
      </c>
      <c r="G8" s="6">
        <v>6400</v>
      </c>
      <c r="H8" s="6">
        <v>1600</v>
      </c>
      <c r="I8" s="6">
        <v>2000</v>
      </c>
      <c r="J8" s="7">
        <v>7</v>
      </c>
      <c r="K8" s="7">
        <v>4</v>
      </c>
      <c r="L8" s="6" t="s">
        <v>57</v>
      </c>
      <c r="M8" s="5" t="s">
        <v>5</v>
      </c>
      <c r="N8" s="7" t="s">
        <v>73</v>
      </c>
      <c r="O8" s="7" t="s">
        <v>49</v>
      </c>
      <c r="P8" s="6" t="s">
        <v>57</v>
      </c>
      <c r="Q8" s="7"/>
      <c r="R8" s="6" t="s">
        <v>57</v>
      </c>
      <c r="S8" s="7" t="s">
        <v>49</v>
      </c>
      <c r="T8" s="6" t="s">
        <v>57</v>
      </c>
      <c r="U8" s="6" t="s">
        <v>57</v>
      </c>
      <c r="V8" s="7"/>
    </row>
    <row r="9" spans="1:22" x14ac:dyDescent="0.25">
      <c r="A9" s="5" t="s">
        <v>13</v>
      </c>
      <c r="B9" s="9" t="s">
        <v>80</v>
      </c>
      <c r="C9" s="9" t="s">
        <v>83</v>
      </c>
      <c r="D9" s="14" t="s">
        <v>96</v>
      </c>
      <c r="E9" s="6">
        <f>SUM(G9:I9)</f>
        <v>30000</v>
      </c>
      <c r="F9" s="6" t="s">
        <v>57</v>
      </c>
      <c r="G9" s="6">
        <v>19200</v>
      </c>
      <c r="H9" s="6">
        <v>4800</v>
      </c>
      <c r="I9" s="6">
        <v>6000</v>
      </c>
      <c r="J9" s="7">
        <v>20</v>
      </c>
      <c r="K9" s="7">
        <v>3</v>
      </c>
      <c r="L9" s="6" t="s">
        <v>57</v>
      </c>
      <c r="M9" s="5" t="s">
        <v>5</v>
      </c>
      <c r="N9" s="7" t="s">
        <v>75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6" t="s">
        <v>57</v>
      </c>
      <c r="V9" s="7"/>
    </row>
    <row r="10" spans="1:22" x14ac:dyDescent="0.25">
      <c r="A10" s="5" t="s">
        <v>14</v>
      </c>
      <c r="B10" s="9" t="s">
        <v>79</v>
      </c>
      <c r="C10" s="9" t="s">
        <v>83</v>
      </c>
      <c r="D10" s="14" t="s">
        <v>107</v>
      </c>
      <c r="E10" s="6">
        <f>SUM(G10:I10)</f>
        <v>101766</v>
      </c>
      <c r="F10" s="6" t="s">
        <v>57</v>
      </c>
      <c r="G10" s="6">
        <v>61059</v>
      </c>
      <c r="H10" s="6">
        <v>20353</v>
      </c>
      <c r="I10" s="6">
        <v>20354</v>
      </c>
      <c r="J10" s="7">
        <v>9</v>
      </c>
      <c r="K10" s="7">
        <v>27</v>
      </c>
      <c r="L10" s="6" t="s">
        <v>57</v>
      </c>
      <c r="M10" s="5" t="s">
        <v>5</v>
      </c>
      <c r="N10" s="7"/>
      <c r="O10" s="7" t="s">
        <v>49</v>
      </c>
      <c r="P10" s="6" t="s">
        <v>57</v>
      </c>
      <c r="Q10" s="7" t="s">
        <v>49</v>
      </c>
      <c r="R10" s="6" t="s">
        <v>57</v>
      </c>
      <c r="S10" s="6" t="s">
        <v>57</v>
      </c>
      <c r="T10" s="7" t="s">
        <v>49</v>
      </c>
      <c r="U10" s="6" t="s">
        <v>57</v>
      </c>
      <c r="V10" s="7"/>
    </row>
    <row r="11" spans="1:22" x14ac:dyDescent="0.25">
      <c r="A11" s="5" t="s">
        <v>15</v>
      </c>
      <c r="B11" s="5" t="s">
        <v>29</v>
      </c>
      <c r="C11" s="5" t="s">
        <v>84</v>
      </c>
      <c r="D11" s="5"/>
      <c r="E11" s="6">
        <f>SUM(G11:I11)</f>
        <v>197080</v>
      </c>
      <c r="F11" s="6" t="s">
        <v>57</v>
      </c>
      <c r="G11" s="6">
        <v>157638</v>
      </c>
      <c r="H11" s="6">
        <v>19722</v>
      </c>
      <c r="I11" s="6">
        <v>19720</v>
      </c>
      <c r="J11" s="7">
        <v>50</v>
      </c>
      <c r="K11" s="7">
        <v>1</v>
      </c>
      <c r="L11" s="6" t="s">
        <v>57</v>
      </c>
      <c r="M11" s="5" t="s">
        <v>2</v>
      </c>
      <c r="N11" s="7"/>
      <c r="O11" s="7" t="s">
        <v>49</v>
      </c>
      <c r="P11" s="6" t="s">
        <v>57</v>
      </c>
      <c r="Q11" s="7"/>
      <c r="R11" s="6" t="s">
        <v>57</v>
      </c>
      <c r="S11" s="6" t="s">
        <v>57</v>
      </c>
      <c r="T11" s="6" t="s">
        <v>57</v>
      </c>
      <c r="U11" s="6" t="s">
        <v>57</v>
      </c>
      <c r="V11" s="7"/>
    </row>
    <row r="12" spans="1:22" x14ac:dyDescent="0.25">
      <c r="A12" s="5" t="s">
        <v>16</v>
      </c>
      <c r="B12" s="5" t="s">
        <v>30</v>
      </c>
      <c r="C12" s="5" t="s">
        <v>83</v>
      </c>
      <c r="D12" s="14" t="s">
        <v>99</v>
      </c>
      <c r="E12" s="6">
        <f>SUM(G12:I12)</f>
        <v>9873</v>
      </c>
      <c r="F12" s="6" t="s">
        <v>57</v>
      </c>
      <c r="G12" s="6">
        <v>6318</v>
      </c>
      <c r="H12" s="6">
        <v>1580</v>
      </c>
      <c r="I12" s="6">
        <v>1975</v>
      </c>
      <c r="J12" s="7">
        <v>32</v>
      </c>
      <c r="K12" s="7">
        <v>0</v>
      </c>
      <c r="L12" s="6" t="s">
        <v>57</v>
      </c>
      <c r="M12" s="5" t="s">
        <v>8</v>
      </c>
      <c r="N12" s="7"/>
      <c r="O12" s="7" t="s">
        <v>49</v>
      </c>
      <c r="P12" s="6" t="s">
        <v>57</v>
      </c>
      <c r="Q12" s="7"/>
      <c r="R12" s="6" t="s">
        <v>57</v>
      </c>
      <c r="S12" s="6" t="s">
        <v>57</v>
      </c>
      <c r="T12" s="6" t="s">
        <v>57</v>
      </c>
      <c r="U12" s="6" t="s">
        <v>57</v>
      </c>
      <c r="V12" s="7"/>
    </row>
    <row r="13" spans="1:22" x14ac:dyDescent="0.25">
      <c r="A13" s="5" t="s">
        <v>17</v>
      </c>
      <c r="B13" s="5" t="s">
        <v>31</v>
      </c>
      <c r="C13" s="5"/>
      <c r="D13" s="5"/>
      <c r="E13" s="6">
        <f>SUM(G13:I13)</f>
        <v>98049</v>
      </c>
      <c r="F13" s="6" t="s">
        <v>57</v>
      </c>
      <c r="G13" s="6">
        <v>62751</v>
      </c>
      <c r="H13" s="6">
        <v>15688</v>
      </c>
      <c r="I13" s="6">
        <v>19610</v>
      </c>
      <c r="J13" s="7">
        <v>28</v>
      </c>
      <c r="K13" s="7">
        <v>0</v>
      </c>
      <c r="L13" s="6" t="s">
        <v>57</v>
      </c>
      <c r="M13" s="5" t="s">
        <v>5</v>
      </c>
      <c r="N13" s="7"/>
      <c r="O13" s="7" t="s">
        <v>49</v>
      </c>
      <c r="P13" s="6" t="s">
        <v>57</v>
      </c>
      <c r="Q13" s="7"/>
      <c r="R13" s="6" t="s">
        <v>57</v>
      </c>
      <c r="S13" s="6" t="s">
        <v>57</v>
      </c>
      <c r="T13" s="6" t="s">
        <v>57</v>
      </c>
      <c r="U13" s="6" t="s">
        <v>57</v>
      </c>
      <c r="V13" s="7"/>
    </row>
    <row r="14" spans="1:22" x14ac:dyDescent="0.25">
      <c r="A14" s="5" t="s">
        <v>18</v>
      </c>
      <c r="B14" s="5" t="s">
        <v>32</v>
      </c>
      <c r="C14" s="5" t="s">
        <v>86</v>
      </c>
      <c r="D14" s="5"/>
      <c r="E14" s="6">
        <f>SUM(G14:I14)</f>
        <v>22784</v>
      </c>
      <c r="F14" s="6" t="s">
        <v>57</v>
      </c>
      <c r="G14" s="6">
        <v>14581</v>
      </c>
      <c r="H14" s="6">
        <v>3646</v>
      </c>
      <c r="I14" s="6">
        <v>4557</v>
      </c>
      <c r="J14" s="7">
        <v>16</v>
      </c>
      <c r="K14" s="7">
        <v>0</v>
      </c>
      <c r="L14" s="6" t="s">
        <v>57</v>
      </c>
      <c r="M14" s="5" t="s">
        <v>2</v>
      </c>
      <c r="N14" s="7"/>
      <c r="O14" s="7" t="s">
        <v>49</v>
      </c>
      <c r="P14" s="6" t="s">
        <v>57</v>
      </c>
      <c r="Q14" s="7"/>
      <c r="R14" s="6" t="s">
        <v>57</v>
      </c>
      <c r="S14" s="6" t="s">
        <v>57</v>
      </c>
      <c r="T14" s="6" t="s">
        <v>57</v>
      </c>
      <c r="U14" s="6" t="s">
        <v>57</v>
      </c>
      <c r="V14" s="7"/>
    </row>
    <row r="15" spans="1:22" x14ac:dyDescent="0.25">
      <c r="A15" s="5" t="s">
        <v>19</v>
      </c>
      <c r="B15" s="5" t="s">
        <v>20</v>
      </c>
      <c r="C15" s="5" t="s">
        <v>84</v>
      </c>
      <c r="D15" s="14" t="s">
        <v>110</v>
      </c>
      <c r="E15" s="6">
        <f>SUM(G15:I15)</f>
        <v>1338</v>
      </c>
      <c r="F15" s="6" t="s">
        <v>57</v>
      </c>
      <c r="G15" s="6">
        <v>856</v>
      </c>
      <c r="H15" s="6">
        <v>214</v>
      </c>
      <c r="I15" s="6">
        <v>268</v>
      </c>
      <c r="J15" s="7">
        <v>3</v>
      </c>
      <c r="K15" s="7">
        <v>3</v>
      </c>
      <c r="L15" s="6" t="s">
        <v>57</v>
      </c>
      <c r="M15" s="5" t="s">
        <v>2</v>
      </c>
      <c r="N15" s="7"/>
      <c r="O15" s="7" t="s">
        <v>49</v>
      </c>
      <c r="P15" s="6" t="s">
        <v>57</v>
      </c>
      <c r="Q15" s="7"/>
      <c r="R15" s="6" t="s">
        <v>57</v>
      </c>
      <c r="S15" s="6" t="s">
        <v>57</v>
      </c>
      <c r="T15" s="6" t="s">
        <v>57</v>
      </c>
      <c r="U15" s="6" t="s">
        <v>57</v>
      </c>
      <c r="V15" s="7"/>
    </row>
    <row r="16" spans="1:22" x14ac:dyDescent="0.25">
      <c r="A16" s="5" t="s">
        <v>21</v>
      </c>
      <c r="B16" s="5" t="s">
        <v>22</v>
      </c>
      <c r="C16" s="5" t="s">
        <v>84</v>
      </c>
      <c r="D16" s="14" t="s">
        <v>102</v>
      </c>
      <c r="E16" s="6">
        <f>SUM(G16:I16)</f>
        <v>21613</v>
      </c>
      <c r="F16" s="6" t="s">
        <v>57</v>
      </c>
      <c r="G16" s="6">
        <v>13832</v>
      </c>
      <c r="H16" s="6">
        <v>3458</v>
      </c>
      <c r="I16" s="6">
        <v>4323</v>
      </c>
      <c r="J16" s="7">
        <v>17</v>
      </c>
      <c r="K16" s="7">
        <v>3</v>
      </c>
      <c r="L16" s="6" t="s">
        <v>57</v>
      </c>
      <c r="M16" s="5" t="s">
        <v>2</v>
      </c>
      <c r="N16" s="7"/>
      <c r="O16" s="7" t="s">
        <v>49</v>
      </c>
      <c r="P16" s="6" t="s">
        <v>57</v>
      </c>
      <c r="Q16" s="7"/>
      <c r="R16" s="6" t="s">
        <v>57</v>
      </c>
      <c r="S16" s="6" t="s">
        <v>57</v>
      </c>
      <c r="T16" s="6" t="s">
        <v>57</v>
      </c>
      <c r="U16" s="6" t="s">
        <v>57</v>
      </c>
      <c r="V16" s="7"/>
    </row>
    <row r="17" spans="1:22" x14ac:dyDescent="0.25">
      <c r="A17" s="5" t="s">
        <v>23</v>
      </c>
      <c r="B17" s="5" t="s">
        <v>24</v>
      </c>
      <c r="C17" s="5" t="s">
        <v>86</v>
      </c>
      <c r="D17" s="5"/>
      <c r="E17" s="6">
        <f>SUM(G17:I17)</f>
        <v>130064</v>
      </c>
      <c r="F17" s="6" t="s">
        <v>57</v>
      </c>
      <c r="G17" s="6">
        <v>83240</v>
      </c>
      <c r="H17" s="6">
        <v>20811</v>
      </c>
      <c r="I17" s="6">
        <v>26013</v>
      </c>
      <c r="J17" s="7">
        <v>50</v>
      </c>
      <c r="K17" s="7">
        <v>0</v>
      </c>
      <c r="L17" s="6" t="s">
        <v>57</v>
      </c>
      <c r="M17" s="5" t="s">
        <v>5</v>
      </c>
      <c r="N17" s="7"/>
      <c r="O17" s="7" t="s">
        <v>49</v>
      </c>
      <c r="P17" s="6" t="s">
        <v>57</v>
      </c>
      <c r="Q17" s="7"/>
      <c r="R17" s="6" t="s">
        <v>57</v>
      </c>
      <c r="S17" s="6" t="s">
        <v>57</v>
      </c>
      <c r="T17" s="6" t="s">
        <v>57</v>
      </c>
      <c r="U17" s="6" t="s">
        <v>57</v>
      </c>
      <c r="V17" s="7"/>
    </row>
    <row r="18" spans="1:22" x14ac:dyDescent="0.25">
      <c r="A18" s="5" t="s">
        <v>25</v>
      </c>
      <c r="B18" s="5" t="s">
        <v>26</v>
      </c>
      <c r="C18" s="5" t="s">
        <v>83</v>
      </c>
      <c r="D18" s="5"/>
      <c r="E18" s="6">
        <f>SUM(G18:I18)</f>
        <v>4839</v>
      </c>
      <c r="F18" s="6" t="s">
        <v>57</v>
      </c>
      <c r="G18" s="6">
        <v>3096</v>
      </c>
      <c r="H18" s="6">
        <v>775</v>
      </c>
      <c r="I18" s="6">
        <v>968</v>
      </c>
      <c r="J18" s="7">
        <v>5</v>
      </c>
      <c r="K18" s="7">
        <v>0</v>
      </c>
      <c r="L18" s="6" t="s">
        <v>57</v>
      </c>
      <c r="M18" s="5" t="s">
        <v>5</v>
      </c>
      <c r="N18" s="7"/>
      <c r="O18" s="7" t="s">
        <v>49</v>
      </c>
      <c r="P18" s="6" t="s">
        <v>57</v>
      </c>
      <c r="Q18" s="7"/>
      <c r="R18" s="6" t="s">
        <v>57</v>
      </c>
      <c r="S18" s="6" t="s">
        <v>57</v>
      </c>
      <c r="T18" s="6" t="s">
        <v>57</v>
      </c>
      <c r="U18" s="6" t="s">
        <v>57</v>
      </c>
      <c r="V18" s="7"/>
    </row>
    <row r="19" spans="1:22" x14ac:dyDescent="0.25">
      <c r="A19" s="5" t="s">
        <v>63</v>
      </c>
      <c r="B19" s="10" t="s">
        <v>64</v>
      </c>
      <c r="C19" s="10" t="s">
        <v>84</v>
      </c>
      <c r="D19" s="14" t="s">
        <v>104</v>
      </c>
      <c r="E19" s="6">
        <f>+G19+I19</f>
        <v>50473</v>
      </c>
      <c r="F19" s="6" t="s">
        <v>57</v>
      </c>
      <c r="G19" s="6">
        <v>40378</v>
      </c>
      <c r="H19" s="6" t="s">
        <v>57</v>
      </c>
      <c r="I19" s="6">
        <v>10095</v>
      </c>
      <c r="J19" s="7">
        <v>29</v>
      </c>
      <c r="K19" s="7">
        <v>0</v>
      </c>
      <c r="L19" s="6" t="s">
        <v>57</v>
      </c>
      <c r="M19" s="5"/>
      <c r="N19" s="7" t="s">
        <v>76</v>
      </c>
      <c r="O19" s="6" t="s">
        <v>57</v>
      </c>
      <c r="P19" s="6" t="s">
        <v>57</v>
      </c>
      <c r="Q19" s="7"/>
      <c r="R19" s="6" t="s">
        <v>57</v>
      </c>
      <c r="S19" s="7" t="s">
        <v>49</v>
      </c>
      <c r="T19" s="6" t="s">
        <v>57</v>
      </c>
      <c r="U19" s="6" t="s">
        <v>57</v>
      </c>
      <c r="V19" s="7"/>
    </row>
    <row r="20" spans="1:22" x14ac:dyDescent="0.25">
      <c r="A20" s="5" t="s">
        <v>65</v>
      </c>
      <c r="B20" s="10" t="s">
        <v>66</v>
      </c>
      <c r="C20" s="10" t="s">
        <v>84</v>
      </c>
      <c r="D20" s="14" t="s">
        <v>105</v>
      </c>
      <c r="E20" s="6">
        <f>+G20+I20</f>
        <v>10000</v>
      </c>
      <c r="F20" s="6" t="s">
        <v>57</v>
      </c>
      <c r="G20" s="6">
        <v>8000</v>
      </c>
      <c r="H20" s="6" t="s">
        <v>57</v>
      </c>
      <c r="I20" s="6">
        <v>2000</v>
      </c>
      <c r="J20" s="7">
        <v>5</v>
      </c>
      <c r="K20" s="7">
        <v>1</v>
      </c>
      <c r="L20" s="6" t="s">
        <v>57</v>
      </c>
      <c r="M20" s="5"/>
      <c r="N20" s="7" t="s">
        <v>72</v>
      </c>
      <c r="O20" s="6" t="s">
        <v>57</v>
      </c>
      <c r="P20" s="6" t="s">
        <v>57</v>
      </c>
      <c r="Q20" s="7"/>
      <c r="R20" s="6" t="s">
        <v>57</v>
      </c>
      <c r="S20" s="7" t="s">
        <v>49</v>
      </c>
      <c r="T20" s="6" t="s">
        <v>57</v>
      </c>
      <c r="U20" s="6" t="s">
        <v>57</v>
      </c>
      <c r="V20" s="7"/>
    </row>
    <row r="21" spans="1:22" x14ac:dyDescent="0.25">
      <c r="A21" s="5" t="s">
        <v>67</v>
      </c>
      <c r="B21" s="10" t="s">
        <v>68</v>
      </c>
      <c r="C21" s="5" t="s">
        <v>84</v>
      </c>
      <c r="D21" s="14" t="s">
        <v>106</v>
      </c>
      <c r="E21" s="6">
        <f>+G21+I21</f>
        <v>15100</v>
      </c>
      <c r="F21" s="6" t="s">
        <v>57</v>
      </c>
      <c r="G21" s="6">
        <v>12080</v>
      </c>
      <c r="H21" s="6" t="s">
        <v>57</v>
      </c>
      <c r="I21" s="6">
        <v>3020</v>
      </c>
      <c r="J21" s="7">
        <v>1</v>
      </c>
      <c r="K21" s="7">
        <v>29</v>
      </c>
      <c r="L21" s="6" t="s">
        <v>57</v>
      </c>
      <c r="M21" s="5"/>
      <c r="N21" s="7" t="s">
        <v>77</v>
      </c>
      <c r="O21" s="6" t="s">
        <v>57</v>
      </c>
      <c r="P21" s="6" t="s">
        <v>57</v>
      </c>
      <c r="Q21" s="7"/>
      <c r="R21" s="6" t="s">
        <v>57</v>
      </c>
      <c r="S21" s="7" t="s">
        <v>49</v>
      </c>
      <c r="T21" s="6" t="s">
        <v>57</v>
      </c>
      <c r="U21" s="6" t="s">
        <v>57</v>
      </c>
      <c r="V21" s="7"/>
    </row>
    <row r="22" spans="1:22" x14ac:dyDescent="0.25">
      <c r="A22" s="8" t="s">
        <v>57</v>
      </c>
      <c r="B22" s="9" t="s">
        <v>78</v>
      </c>
      <c r="C22" s="9" t="s">
        <v>83</v>
      </c>
      <c r="D22" s="14" t="s">
        <v>97</v>
      </c>
      <c r="E22" s="6">
        <f>+G22+H22+I22</f>
        <v>19019</v>
      </c>
      <c r="F22" s="6" t="s">
        <v>57</v>
      </c>
      <c r="G22" s="6">
        <v>15215</v>
      </c>
      <c r="H22" s="6">
        <v>1902</v>
      </c>
      <c r="I22" s="6">
        <v>1902</v>
      </c>
      <c r="J22" s="7">
        <v>10</v>
      </c>
      <c r="K22" s="7">
        <v>1</v>
      </c>
      <c r="L22" s="6" t="s">
        <v>57</v>
      </c>
      <c r="M22" s="5" t="s">
        <v>71</v>
      </c>
      <c r="N22" s="7"/>
      <c r="O22" s="6" t="s">
        <v>57</v>
      </c>
      <c r="P22" s="7" t="s">
        <v>49</v>
      </c>
      <c r="Q22" s="7" t="s">
        <v>49</v>
      </c>
      <c r="R22" s="6" t="s">
        <v>57</v>
      </c>
      <c r="S22" s="6" t="s">
        <v>57</v>
      </c>
      <c r="T22" s="7" t="s">
        <v>49</v>
      </c>
      <c r="U22" s="6" t="s">
        <v>57</v>
      </c>
      <c r="V22" s="7"/>
    </row>
    <row r="23" spans="1:22" x14ac:dyDescent="0.25">
      <c r="A23" s="8" t="s">
        <v>57</v>
      </c>
      <c r="B23" s="9" t="s">
        <v>85</v>
      </c>
      <c r="C23" s="9" t="s">
        <v>84</v>
      </c>
      <c r="D23" s="14" t="s">
        <v>103</v>
      </c>
      <c r="E23" s="6">
        <f>+G23+H23+I23</f>
        <v>43824</v>
      </c>
      <c r="F23" s="6" t="s">
        <v>57</v>
      </c>
      <c r="G23" s="6">
        <v>35058</v>
      </c>
      <c r="H23" s="6">
        <v>4383</v>
      </c>
      <c r="I23" s="6">
        <v>4383</v>
      </c>
      <c r="J23" s="7"/>
      <c r="K23" s="7"/>
      <c r="L23" s="6" t="s">
        <v>57</v>
      </c>
      <c r="M23" s="5" t="s">
        <v>2</v>
      </c>
      <c r="N23" s="7"/>
      <c r="O23" s="6" t="s">
        <v>57</v>
      </c>
      <c r="P23" s="7" t="s">
        <v>49</v>
      </c>
      <c r="Q23" s="7" t="s">
        <v>49</v>
      </c>
      <c r="R23" s="6" t="s">
        <v>57</v>
      </c>
      <c r="S23" s="6" t="s">
        <v>57</v>
      </c>
      <c r="T23" s="6" t="s">
        <v>57</v>
      </c>
      <c r="U23" s="6" t="s">
        <v>57</v>
      </c>
      <c r="V23" s="7"/>
    </row>
    <row r="24" spans="1:22" x14ac:dyDescent="0.25">
      <c r="A24" s="8" t="s">
        <v>57</v>
      </c>
      <c r="B24" s="9" t="s">
        <v>88</v>
      </c>
      <c r="C24" s="9" t="s">
        <v>86</v>
      </c>
      <c r="D24" s="14" t="s">
        <v>108</v>
      </c>
      <c r="E24" s="6">
        <f>+G24+H24+I24</f>
        <v>39644</v>
      </c>
      <c r="F24" s="6" t="s">
        <v>57</v>
      </c>
      <c r="G24" s="6">
        <v>31714</v>
      </c>
      <c r="H24" s="6">
        <v>3965</v>
      </c>
      <c r="I24" s="6">
        <v>3965</v>
      </c>
      <c r="J24" s="7"/>
      <c r="K24" s="7"/>
      <c r="L24" s="6" t="s">
        <v>57</v>
      </c>
      <c r="M24" s="5" t="s">
        <v>2</v>
      </c>
      <c r="N24" s="7"/>
      <c r="O24" s="6" t="s">
        <v>57</v>
      </c>
      <c r="P24" s="7" t="s">
        <v>49</v>
      </c>
      <c r="Q24" s="7" t="s">
        <v>49</v>
      </c>
      <c r="R24" s="6" t="s">
        <v>57</v>
      </c>
      <c r="S24" s="6" t="s">
        <v>57</v>
      </c>
      <c r="T24" s="6" t="s">
        <v>57</v>
      </c>
      <c r="U24" s="6" t="s">
        <v>57</v>
      </c>
      <c r="V24" s="7"/>
    </row>
    <row r="25" spans="1:22" x14ac:dyDescent="0.25">
      <c r="A25" s="8" t="s">
        <v>57</v>
      </c>
      <c r="B25" s="10" t="s">
        <v>59</v>
      </c>
      <c r="C25" s="10" t="s">
        <v>90</v>
      </c>
      <c r="D25" s="10"/>
      <c r="E25" s="6">
        <f>+G25+I25</f>
        <v>1476216</v>
      </c>
      <c r="F25" s="6" t="s">
        <v>57</v>
      </c>
      <c r="G25" s="6">
        <v>738108</v>
      </c>
      <c r="H25" s="6" t="s">
        <v>57</v>
      </c>
      <c r="I25" s="6">
        <v>738108</v>
      </c>
      <c r="J25" s="7">
        <v>4</v>
      </c>
      <c r="K25" s="7">
        <v>28</v>
      </c>
      <c r="L25" s="6" t="s">
        <v>57</v>
      </c>
      <c r="M25" s="5"/>
      <c r="N25" s="7"/>
      <c r="O25" s="6" t="s">
        <v>57</v>
      </c>
      <c r="P25" s="6" t="s">
        <v>57</v>
      </c>
      <c r="Q25" s="7"/>
      <c r="R25" s="7" t="s">
        <v>49</v>
      </c>
      <c r="S25" s="6" t="s">
        <v>57</v>
      </c>
      <c r="T25" s="6" t="s">
        <v>57</v>
      </c>
      <c r="U25" s="6" t="s">
        <v>57</v>
      </c>
      <c r="V25" s="7"/>
    </row>
    <row r="26" spans="1:22" x14ac:dyDescent="0.25">
      <c r="A26" s="8" t="s">
        <v>57</v>
      </c>
      <c r="B26" s="9" t="s">
        <v>81</v>
      </c>
      <c r="C26" s="9" t="s">
        <v>84</v>
      </c>
      <c r="D26" s="14" t="s">
        <v>98</v>
      </c>
      <c r="E26" s="6">
        <f>+G26+I26</f>
        <v>12330</v>
      </c>
      <c r="F26" s="6" t="s">
        <v>57</v>
      </c>
      <c r="G26" s="6">
        <v>6165</v>
      </c>
      <c r="H26" s="6" t="s">
        <v>57</v>
      </c>
      <c r="I26" s="6">
        <v>6165</v>
      </c>
      <c r="J26" s="7">
        <v>10</v>
      </c>
      <c r="K26" s="7">
        <v>8</v>
      </c>
      <c r="L26" s="6" t="s">
        <v>57</v>
      </c>
      <c r="M26" s="5"/>
      <c r="N26" s="7"/>
      <c r="O26" s="6" t="s">
        <v>57</v>
      </c>
      <c r="P26" s="7" t="s">
        <v>49</v>
      </c>
      <c r="Q26" s="7" t="s">
        <v>49</v>
      </c>
      <c r="R26" s="7" t="s">
        <v>49</v>
      </c>
      <c r="S26" s="6" t="s">
        <v>57</v>
      </c>
      <c r="T26" s="7" t="s">
        <v>49</v>
      </c>
      <c r="U26" s="6" t="s">
        <v>57</v>
      </c>
      <c r="V26" s="7"/>
    </row>
    <row r="27" spans="1:22" x14ac:dyDescent="0.25">
      <c r="A27" s="8" t="s">
        <v>57</v>
      </c>
      <c r="B27" s="5" t="s">
        <v>60</v>
      </c>
      <c r="C27" s="5" t="s">
        <v>86</v>
      </c>
      <c r="D27" s="5"/>
      <c r="E27" s="6">
        <f>+G27+I27</f>
        <v>161720</v>
      </c>
      <c r="F27" s="6" t="s">
        <v>57</v>
      </c>
      <c r="G27" s="6">
        <f>71095+10000</f>
        <v>81095</v>
      </c>
      <c r="H27" s="6" t="s">
        <v>57</v>
      </c>
      <c r="I27" s="6">
        <f>70747+9878</f>
        <v>80625</v>
      </c>
      <c r="J27" s="7">
        <v>2</v>
      </c>
      <c r="K27" s="7">
        <v>5</v>
      </c>
      <c r="L27" s="6">
        <v>11</v>
      </c>
      <c r="M27" s="5"/>
      <c r="N27" s="7"/>
      <c r="O27" s="6" t="s">
        <v>57</v>
      </c>
      <c r="P27" s="6" t="s">
        <v>57</v>
      </c>
      <c r="Q27" s="7"/>
      <c r="R27" s="7" t="s">
        <v>49</v>
      </c>
      <c r="S27" s="6" t="s">
        <v>57</v>
      </c>
      <c r="T27" s="6" t="s">
        <v>57</v>
      </c>
      <c r="U27" s="6" t="s">
        <v>57</v>
      </c>
      <c r="V27" s="7"/>
    </row>
    <row r="28" spans="1:22" x14ac:dyDescent="0.25">
      <c r="A28" s="8" t="s">
        <v>57</v>
      </c>
      <c r="B28" s="5" t="s">
        <v>61</v>
      </c>
      <c r="C28" s="5"/>
      <c r="D28" s="5"/>
      <c r="E28" s="6">
        <f>+G28+I28</f>
        <v>2306757</v>
      </c>
      <c r="F28" s="6" t="s">
        <v>57</v>
      </c>
      <c r="G28" s="6">
        <f>844641+308057</f>
        <v>1152698</v>
      </c>
      <c r="H28" s="6" t="s">
        <v>57</v>
      </c>
      <c r="I28" s="6">
        <f>846001+308058</f>
        <v>1154059</v>
      </c>
      <c r="J28" s="7">
        <v>10</v>
      </c>
      <c r="K28" s="7">
        <v>0</v>
      </c>
      <c r="L28" s="6">
        <v>15</v>
      </c>
      <c r="M28" s="5"/>
      <c r="N28" s="7"/>
      <c r="O28" s="6" t="s">
        <v>57</v>
      </c>
      <c r="P28" s="6" t="s">
        <v>57</v>
      </c>
      <c r="Q28" s="7"/>
      <c r="R28" s="7" t="s">
        <v>49</v>
      </c>
      <c r="S28" s="6" t="s">
        <v>57</v>
      </c>
      <c r="T28" s="6" t="s">
        <v>57</v>
      </c>
      <c r="U28" s="6" t="s">
        <v>57</v>
      </c>
      <c r="V28" s="7"/>
    </row>
    <row r="29" spans="1:22" x14ac:dyDescent="0.25">
      <c r="A29" s="8" t="s">
        <v>57</v>
      </c>
      <c r="B29" s="5" t="s">
        <v>62</v>
      </c>
      <c r="C29" s="5" t="s">
        <v>91</v>
      </c>
      <c r="D29" s="5"/>
      <c r="E29" s="6">
        <f>+G29+I29</f>
        <v>1060820</v>
      </c>
      <c r="F29" s="6" t="s">
        <v>57</v>
      </c>
      <c r="G29" s="6">
        <f>526442+2250</f>
        <v>528692</v>
      </c>
      <c r="H29" s="6" t="s">
        <v>57</v>
      </c>
      <c r="I29" s="6">
        <f>529878+2250</f>
        <v>532128</v>
      </c>
      <c r="J29" s="7">
        <v>4</v>
      </c>
      <c r="K29" s="7">
        <v>1</v>
      </c>
      <c r="L29" s="6">
        <v>11</v>
      </c>
      <c r="M29" s="5"/>
      <c r="N29" s="7"/>
      <c r="O29" s="6" t="s">
        <v>57</v>
      </c>
      <c r="P29" s="6" t="s">
        <v>57</v>
      </c>
      <c r="Q29" s="7"/>
      <c r="R29" s="7" t="s">
        <v>49</v>
      </c>
      <c r="S29" s="6" t="s">
        <v>57</v>
      </c>
      <c r="T29" s="6" t="s">
        <v>57</v>
      </c>
      <c r="U29" s="6" t="s">
        <v>57</v>
      </c>
      <c r="V29" s="7"/>
    </row>
    <row r="30" spans="1:22" x14ac:dyDescent="0.25">
      <c r="A30" s="8" t="s">
        <v>57</v>
      </c>
      <c r="B30" s="5" t="s">
        <v>51</v>
      </c>
      <c r="C30" s="5"/>
      <c r="D30" s="5"/>
      <c r="E30" s="6">
        <v>3652757</v>
      </c>
      <c r="F30" s="6">
        <v>43289</v>
      </c>
      <c r="G30" s="6">
        <v>38961</v>
      </c>
      <c r="H30" s="6" t="s">
        <v>57</v>
      </c>
      <c r="I30" s="6">
        <v>4328</v>
      </c>
      <c r="J30" s="7">
        <v>2</v>
      </c>
      <c r="K30" s="7">
        <v>2</v>
      </c>
      <c r="L30" s="7">
        <v>3</v>
      </c>
      <c r="M30" s="5"/>
      <c r="N30" s="7"/>
      <c r="O30" s="6" t="s">
        <v>57</v>
      </c>
      <c r="P30" s="6" t="s">
        <v>57</v>
      </c>
      <c r="Q30" s="5"/>
      <c r="R30" s="6" t="s">
        <v>57</v>
      </c>
      <c r="S30" s="6" t="s">
        <v>57</v>
      </c>
      <c r="T30" s="6" t="s">
        <v>57</v>
      </c>
      <c r="U30" s="7" t="s">
        <v>49</v>
      </c>
      <c r="V30" s="5"/>
    </row>
    <row r="31" spans="1:22" x14ac:dyDescent="0.25">
      <c r="A31" s="8" t="s">
        <v>57</v>
      </c>
      <c r="B31" s="5" t="s">
        <v>52</v>
      </c>
      <c r="C31" s="5"/>
      <c r="D31" s="5"/>
      <c r="E31" s="6">
        <v>44117905</v>
      </c>
      <c r="F31" s="6">
        <v>50000</v>
      </c>
      <c r="G31" s="6">
        <v>45000</v>
      </c>
      <c r="H31" s="6" t="s">
        <v>57</v>
      </c>
      <c r="I31" s="6">
        <v>5000</v>
      </c>
      <c r="J31" s="7">
        <v>0</v>
      </c>
      <c r="K31" s="7">
        <v>0</v>
      </c>
      <c r="L31" s="7">
        <v>3</v>
      </c>
      <c r="M31" s="5"/>
      <c r="N31" s="7"/>
      <c r="O31" s="6" t="s">
        <v>57</v>
      </c>
      <c r="P31" s="6" t="s">
        <v>57</v>
      </c>
      <c r="Q31" s="5"/>
      <c r="R31" s="6" t="s">
        <v>57</v>
      </c>
      <c r="S31" s="6" t="s">
        <v>57</v>
      </c>
      <c r="T31" s="6" t="s">
        <v>57</v>
      </c>
      <c r="U31" s="7" t="s">
        <v>49</v>
      </c>
      <c r="V31" s="5"/>
    </row>
    <row r="32" spans="1:22" x14ac:dyDescent="0.25">
      <c r="A32" s="8" t="s">
        <v>57</v>
      </c>
      <c r="B32" s="10" t="s">
        <v>87</v>
      </c>
      <c r="C32" s="10" t="s">
        <v>86</v>
      </c>
      <c r="D32" s="10" t="s">
        <v>109</v>
      </c>
      <c r="E32" s="6">
        <v>409513</v>
      </c>
      <c r="F32" s="6">
        <v>5000</v>
      </c>
      <c r="G32" s="6">
        <v>4000</v>
      </c>
      <c r="H32" s="6" t="s">
        <v>57</v>
      </c>
      <c r="I32" s="6">
        <v>1000</v>
      </c>
      <c r="J32" s="7">
        <v>0</v>
      </c>
      <c r="K32" s="7">
        <v>0</v>
      </c>
      <c r="L32" s="7">
        <v>6</v>
      </c>
      <c r="M32" s="5"/>
      <c r="N32" s="7"/>
      <c r="O32" s="6" t="s">
        <v>57</v>
      </c>
      <c r="P32" s="6" t="s">
        <v>57</v>
      </c>
      <c r="Q32" s="5"/>
      <c r="R32" s="6" t="s">
        <v>57</v>
      </c>
      <c r="S32" s="6" t="s">
        <v>57</v>
      </c>
      <c r="T32" s="6" t="s">
        <v>57</v>
      </c>
      <c r="U32" s="7" t="s">
        <v>49</v>
      </c>
      <c r="V32" s="5"/>
    </row>
    <row r="33" spans="1:22" x14ac:dyDescent="0.25">
      <c r="A33" s="8" t="s">
        <v>57</v>
      </c>
      <c r="B33" s="10" t="s">
        <v>53</v>
      </c>
      <c r="C33" s="10" t="s">
        <v>91</v>
      </c>
      <c r="D33" s="10"/>
      <c r="E33" s="6">
        <v>1056320</v>
      </c>
      <c r="F33" s="6">
        <v>4500</v>
      </c>
      <c r="G33" s="6">
        <v>3600</v>
      </c>
      <c r="H33" s="6" t="s">
        <v>57</v>
      </c>
      <c r="I33" s="6">
        <v>900</v>
      </c>
      <c r="J33" s="7">
        <v>0</v>
      </c>
      <c r="K33" s="7">
        <v>4</v>
      </c>
      <c r="L33" s="7">
        <v>6</v>
      </c>
      <c r="M33" s="5"/>
      <c r="N33" s="7"/>
      <c r="O33" s="6" t="s">
        <v>57</v>
      </c>
      <c r="P33" s="6" t="s">
        <v>57</v>
      </c>
      <c r="Q33" s="5"/>
      <c r="R33" s="6" t="s">
        <v>57</v>
      </c>
      <c r="S33" s="6" t="s">
        <v>57</v>
      </c>
      <c r="T33" s="6" t="s">
        <v>57</v>
      </c>
      <c r="U33" s="7" t="s">
        <v>49</v>
      </c>
      <c r="V33" s="5"/>
    </row>
    <row r="34" spans="1:22" x14ac:dyDescent="0.25">
      <c r="A34" s="8" t="s">
        <v>57</v>
      </c>
      <c r="B34" s="10" t="s">
        <v>54</v>
      </c>
      <c r="C34" s="10" t="s">
        <v>84</v>
      </c>
      <c r="D34" s="10"/>
      <c r="E34" s="6">
        <v>68015</v>
      </c>
      <c r="F34" s="6">
        <v>1115</v>
      </c>
      <c r="G34" s="6">
        <v>892</v>
      </c>
      <c r="H34" s="6" t="s">
        <v>57</v>
      </c>
      <c r="I34" s="6">
        <v>223</v>
      </c>
      <c r="J34" s="7">
        <v>1</v>
      </c>
      <c r="K34" s="7">
        <v>8</v>
      </c>
      <c r="L34" s="7">
        <v>8</v>
      </c>
      <c r="M34" s="5"/>
      <c r="N34" s="7"/>
      <c r="O34" s="6" t="s">
        <v>57</v>
      </c>
      <c r="P34" s="6" t="s">
        <v>57</v>
      </c>
      <c r="Q34" s="5"/>
      <c r="R34" s="6" t="s">
        <v>57</v>
      </c>
      <c r="S34" s="6" t="s">
        <v>57</v>
      </c>
      <c r="T34" s="6" t="s">
        <v>57</v>
      </c>
      <c r="U34" s="7" t="s">
        <v>49</v>
      </c>
      <c r="V34" s="5"/>
    </row>
    <row r="35" spans="1:22" x14ac:dyDescent="0.25">
      <c r="A35" s="8" t="s">
        <v>57</v>
      </c>
      <c r="B35" s="10" t="s">
        <v>55</v>
      </c>
      <c r="C35" s="10" t="s">
        <v>84</v>
      </c>
      <c r="D35" s="10"/>
      <c r="E35" s="6">
        <v>192596</v>
      </c>
      <c r="F35" s="6">
        <v>10000</v>
      </c>
      <c r="G35" s="6">
        <v>8000</v>
      </c>
      <c r="H35" s="6" t="s">
        <v>57</v>
      </c>
      <c r="I35" s="6">
        <v>2000</v>
      </c>
      <c r="J35" s="7">
        <v>2</v>
      </c>
      <c r="K35" s="7">
        <v>11</v>
      </c>
      <c r="L35" s="7">
        <v>5</v>
      </c>
      <c r="M35" s="5"/>
      <c r="N35" s="7"/>
      <c r="O35" s="6" t="s">
        <v>57</v>
      </c>
      <c r="P35" s="6" t="s">
        <v>57</v>
      </c>
      <c r="Q35" s="5"/>
      <c r="R35" s="6" t="s">
        <v>57</v>
      </c>
      <c r="S35" s="6" t="s">
        <v>57</v>
      </c>
      <c r="T35" s="6" t="s">
        <v>57</v>
      </c>
      <c r="U35" s="7" t="s">
        <v>49</v>
      </c>
      <c r="V35" s="5"/>
    </row>
  </sheetData>
  <autoFilter ref="A2:V35" xr:uid="{00000000-0001-0000-0000-000000000000}"/>
  <hyperlinks>
    <hyperlink ref="D4" r:id="rId1" xr:uid="{6FD06322-1EC5-44E8-AEC7-86B834D8719B}"/>
    <hyperlink ref="D3" r:id="rId2" xr:uid="{290380AF-31D9-4777-AB77-FB4ED530060A}"/>
    <hyperlink ref="D9" r:id="rId3" xr:uid="{DAFCDD3C-DC07-4BC8-84E4-BC43B0D12E0E}"/>
    <hyperlink ref="D22" r:id="rId4" xr:uid="{D0DAC137-0D19-4153-968C-BB15A893F687}"/>
    <hyperlink ref="D26" r:id="rId5" xr:uid="{58BEE848-B341-45C5-A132-29AD61FC5A06}"/>
    <hyperlink ref="D12" r:id="rId6" xr:uid="{C76CECDA-3FFA-40F2-99B2-BCAB127B25B6}"/>
    <hyperlink ref="D5" r:id="rId7" xr:uid="{DAC09BBF-E668-4390-8108-55CA10BA8C96}"/>
    <hyperlink ref="D8" r:id="rId8" xr:uid="{5D553668-64FE-4A09-A5DD-1BCE18DC276A}"/>
    <hyperlink ref="D16" r:id="rId9" xr:uid="{FBBE87AA-F2D9-4DA9-B85F-282A49F35921}"/>
    <hyperlink ref="D23" r:id="rId10" xr:uid="{08B02B37-BD98-4C0C-9A45-FAFC9D8EF160}"/>
    <hyperlink ref="D19" r:id="rId11" xr:uid="{3D0F9A07-3686-4C73-BE62-FCA303F41AD1}"/>
    <hyperlink ref="D20" r:id="rId12" xr:uid="{CC3038F9-9029-4D37-BB12-876592DE5A71}"/>
    <hyperlink ref="D21" r:id="rId13" xr:uid="{3BDB65EA-861E-4DC0-B42F-0193D80D3B62}"/>
    <hyperlink ref="D10" r:id="rId14" xr:uid="{52E0B731-EA35-42E8-979D-C1FBD03218D3}"/>
    <hyperlink ref="D24" r:id="rId15" xr:uid="{8FF2926F-B374-46F8-8294-0BBEFACA0F30}"/>
    <hyperlink ref="D15" r:id="rId16" xr:uid="{FC4833EA-382A-4BB2-A9BF-33E4C85CC6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B8BC-EA6D-46E4-B046-EE068245E952}">
  <dimension ref="A1:T26"/>
  <sheetViews>
    <sheetView workbookViewId="0">
      <pane ySplit="2" topLeftCell="A3" activePane="bottomLeft" state="frozen"/>
      <selection pane="bottomLeft" activeCell="D30" sqref="D30"/>
    </sheetView>
  </sheetViews>
  <sheetFormatPr defaultRowHeight="15" x14ac:dyDescent="0.25"/>
  <cols>
    <col min="1" max="1" width="12.5703125" bestFit="1" customWidth="1"/>
    <col min="2" max="2" width="20.42578125" bestFit="1" customWidth="1"/>
    <col min="3" max="4" width="20.42578125" customWidth="1"/>
    <col min="5" max="5" width="10.28515625" bestFit="1" customWidth="1"/>
    <col min="6" max="6" width="15.140625" bestFit="1" customWidth="1"/>
    <col min="7" max="7" width="9.5703125" bestFit="1" customWidth="1"/>
    <col min="8" max="8" width="17.5703125" bestFit="1" customWidth="1"/>
    <col min="9" max="9" width="19.85546875" bestFit="1" customWidth="1"/>
    <col min="10" max="10" width="19.85546875" customWidth="1"/>
    <col min="11" max="11" width="12.7109375" bestFit="1" customWidth="1"/>
    <col min="12" max="12" width="17.28515625" style="2" customWidth="1"/>
    <col min="13" max="13" width="9.7109375" bestFit="1" customWidth="1"/>
    <col min="14" max="14" width="7.28515625" bestFit="1" customWidth="1"/>
    <col min="15" max="15" width="7.42578125" bestFit="1" customWidth="1"/>
    <col min="16" max="16" width="12.85546875" bestFit="1" customWidth="1"/>
    <col min="17" max="17" width="7.7109375" bestFit="1" customWidth="1"/>
    <col min="18" max="18" width="7" bestFit="1" customWidth="1"/>
    <col min="19" max="19" width="7.42578125" bestFit="1" customWidth="1"/>
    <col min="20" max="20" width="9.7109375" bestFit="1" customWidth="1"/>
  </cols>
  <sheetData>
    <row r="1" spans="1:20" x14ac:dyDescent="0.25">
      <c r="A1" s="1">
        <v>1</v>
      </c>
      <c r="B1" s="1">
        <f>+A1+1</f>
        <v>2</v>
      </c>
      <c r="C1" s="1">
        <f t="shared" ref="C1:T1" si="0">+B1+1</f>
        <v>3</v>
      </c>
      <c r="D1" s="1"/>
      <c r="E1" s="1">
        <f>+C1+1</f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 t="shared" si="0"/>
        <v>16</v>
      </c>
      <c r="R1" s="1">
        <f t="shared" si="0"/>
        <v>17</v>
      </c>
      <c r="S1" s="1">
        <f t="shared" si="0"/>
        <v>18</v>
      </c>
      <c r="T1" s="1">
        <f t="shared" si="0"/>
        <v>19</v>
      </c>
    </row>
    <row r="2" spans="1:20" x14ac:dyDescent="0.25">
      <c r="A2" s="3" t="s">
        <v>33</v>
      </c>
      <c r="B2" s="3" t="s">
        <v>34</v>
      </c>
      <c r="C2" s="4" t="s">
        <v>50</v>
      </c>
      <c r="D2" s="4" t="s">
        <v>56</v>
      </c>
      <c r="E2" s="4" t="s">
        <v>35</v>
      </c>
      <c r="F2" s="4" t="s">
        <v>36</v>
      </c>
      <c r="G2" s="4" t="s">
        <v>38</v>
      </c>
      <c r="H2" s="4" t="s">
        <v>39</v>
      </c>
      <c r="I2" s="4" t="s">
        <v>40</v>
      </c>
      <c r="J2" s="4" t="s">
        <v>58</v>
      </c>
      <c r="K2" s="3" t="s">
        <v>37</v>
      </c>
      <c r="L2" s="4" t="s">
        <v>72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</row>
    <row r="3" spans="1:20" x14ac:dyDescent="0.25">
      <c r="A3" s="5" t="s">
        <v>0</v>
      </c>
      <c r="B3" s="9" t="s">
        <v>1</v>
      </c>
      <c r="C3" s="6">
        <f>SUM(E3:G3)</f>
        <v>4177</v>
      </c>
      <c r="D3" s="6" t="s">
        <v>57</v>
      </c>
      <c r="E3" s="6">
        <v>2672</v>
      </c>
      <c r="F3" s="6">
        <v>669</v>
      </c>
      <c r="G3" s="6">
        <v>836</v>
      </c>
      <c r="H3" s="7">
        <v>7</v>
      </c>
      <c r="I3" s="7">
        <v>1</v>
      </c>
      <c r="J3" s="6" t="s">
        <v>57</v>
      </c>
      <c r="K3" s="5" t="s">
        <v>2</v>
      </c>
      <c r="L3" s="7"/>
      <c r="M3" s="7" t="s">
        <v>49</v>
      </c>
      <c r="N3" s="6" t="s">
        <v>57</v>
      </c>
      <c r="O3" s="7"/>
      <c r="P3" s="6" t="s">
        <v>57</v>
      </c>
      <c r="Q3" s="6" t="s">
        <v>57</v>
      </c>
      <c r="R3" s="7" t="s">
        <v>49</v>
      </c>
      <c r="S3" s="6" t="s">
        <v>57</v>
      </c>
      <c r="T3" s="7"/>
    </row>
    <row r="4" spans="1:20" x14ac:dyDescent="0.25">
      <c r="A4" s="5" t="s">
        <v>3</v>
      </c>
      <c r="B4" s="9" t="s">
        <v>4</v>
      </c>
      <c r="C4" s="6">
        <f t="shared" ref="C4:C18" si="1">SUM(E4:G4)</f>
        <v>48842</v>
      </c>
      <c r="D4" s="6" t="s">
        <v>57</v>
      </c>
      <c r="E4" s="6">
        <v>26048</v>
      </c>
      <c r="F4" s="6">
        <v>6513</v>
      </c>
      <c r="G4" s="6">
        <v>16281</v>
      </c>
      <c r="H4" s="7">
        <v>6</v>
      </c>
      <c r="I4" s="7">
        <v>8</v>
      </c>
      <c r="J4" s="6" t="s">
        <v>57</v>
      </c>
      <c r="K4" s="5" t="s">
        <v>5</v>
      </c>
      <c r="L4" s="7" t="s">
        <v>74</v>
      </c>
      <c r="M4" s="7" t="s">
        <v>49</v>
      </c>
      <c r="N4" s="7" t="s">
        <v>49</v>
      </c>
      <c r="O4" s="7" t="s">
        <v>49</v>
      </c>
      <c r="P4" s="7" t="s">
        <v>49</v>
      </c>
      <c r="Q4" s="7" t="s">
        <v>49</v>
      </c>
      <c r="R4" s="7" t="s">
        <v>49</v>
      </c>
      <c r="S4" s="6" t="s">
        <v>57</v>
      </c>
      <c r="T4" s="7"/>
    </row>
    <row r="5" spans="1:20" x14ac:dyDescent="0.25">
      <c r="A5" s="5" t="s">
        <v>6</v>
      </c>
      <c r="B5" s="5" t="s">
        <v>7</v>
      </c>
      <c r="C5" s="6">
        <f t="shared" si="1"/>
        <v>18834</v>
      </c>
      <c r="D5" s="6" t="s">
        <v>57</v>
      </c>
      <c r="E5" s="6">
        <v>12053</v>
      </c>
      <c r="F5" s="6">
        <v>3014</v>
      </c>
      <c r="G5" s="6">
        <v>3767</v>
      </c>
      <c r="H5" s="7">
        <v>4</v>
      </c>
      <c r="I5" s="7">
        <v>5</v>
      </c>
      <c r="J5" s="6" t="s">
        <v>57</v>
      </c>
      <c r="K5" s="5" t="s">
        <v>8</v>
      </c>
      <c r="L5" s="7"/>
      <c r="M5" s="7" t="s">
        <v>49</v>
      </c>
      <c r="N5" s="6" t="s">
        <v>57</v>
      </c>
      <c r="O5" s="7"/>
      <c r="P5" s="6" t="s">
        <v>57</v>
      </c>
      <c r="Q5" s="6" t="s">
        <v>57</v>
      </c>
      <c r="R5" s="6" t="s">
        <v>57</v>
      </c>
      <c r="S5" s="6" t="s">
        <v>57</v>
      </c>
      <c r="T5" s="7"/>
    </row>
    <row r="6" spans="1:20" x14ac:dyDescent="0.25">
      <c r="A6" s="5" t="s">
        <v>9</v>
      </c>
      <c r="B6" s="10" t="s">
        <v>27</v>
      </c>
      <c r="C6" s="6">
        <f t="shared" si="1"/>
        <v>20640</v>
      </c>
      <c r="D6" s="6" t="s">
        <v>57</v>
      </c>
      <c r="E6" s="6">
        <v>13209</v>
      </c>
      <c r="F6" s="6">
        <v>3303</v>
      </c>
      <c r="G6" s="6">
        <v>4128</v>
      </c>
      <c r="H6" s="7">
        <v>8</v>
      </c>
      <c r="I6" s="7">
        <v>0</v>
      </c>
      <c r="J6" s="6" t="s">
        <v>57</v>
      </c>
      <c r="K6" s="5" t="s">
        <v>2</v>
      </c>
      <c r="L6" s="7"/>
      <c r="M6" s="7" t="s">
        <v>49</v>
      </c>
      <c r="N6" s="6" t="s">
        <v>57</v>
      </c>
      <c r="O6" s="7"/>
      <c r="P6" s="6" t="s">
        <v>57</v>
      </c>
      <c r="Q6" s="6" t="s">
        <v>57</v>
      </c>
      <c r="R6" s="6" t="s">
        <v>57</v>
      </c>
      <c r="S6" s="6" t="s">
        <v>57</v>
      </c>
      <c r="T6" s="7"/>
    </row>
    <row r="7" spans="1:20" x14ac:dyDescent="0.25">
      <c r="A7" s="5" t="s">
        <v>10</v>
      </c>
      <c r="B7" s="10" t="s">
        <v>11</v>
      </c>
      <c r="C7" s="6">
        <f t="shared" si="1"/>
        <v>70000</v>
      </c>
      <c r="D7" s="6" t="s">
        <v>57</v>
      </c>
      <c r="E7" s="6">
        <v>44800</v>
      </c>
      <c r="F7" s="6">
        <v>11200</v>
      </c>
      <c r="G7" s="6">
        <v>14000</v>
      </c>
      <c r="H7" s="7">
        <v>5</v>
      </c>
      <c r="I7" s="7">
        <v>6</v>
      </c>
      <c r="J7" s="6" t="s">
        <v>57</v>
      </c>
      <c r="K7" s="5" t="s">
        <v>5</v>
      </c>
      <c r="L7" s="7"/>
      <c r="M7" s="7" t="s">
        <v>49</v>
      </c>
      <c r="N7" s="6" t="s">
        <v>57</v>
      </c>
      <c r="O7" s="7"/>
      <c r="P7" s="6" t="s">
        <v>57</v>
      </c>
      <c r="Q7" s="6" t="s">
        <v>57</v>
      </c>
      <c r="R7" s="6" t="s">
        <v>57</v>
      </c>
      <c r="S7" s="6" t="s">
        <v>57</v>
      </c>
      <c r="T7" s="7"/>
    </row>
    <row r="8" spans="1:20" x14ac:dyDescent="0.25">
      <c r="A8" s="5" t="s">
        <v>12</v>
      </c>
      <c r="B8" s="9" t="s">
        <v>28</v>
      </c>
      <c r="C8" s="6">
        <f t="shared" si="1"/>
        <v>10000</v>
      </c>
      <c r="D8" s="6" t="s">
        <v>57</v>
      </c>
      <c r="E8" s="6">
        <v>6400</v>
      </c>
      <c r="F8" s="6">
        <v>1600</v>
      </c>
      <c r="G8" s="6">
        <v>2000</v>
      </c>
      <c r="H8" s="7">
        <v>7</v>
      </c>
      <c r="I8" s="7">
        <v>4</v>
      </c>
      <c r="J8" s="6" t="s">
        <v>57</v>
      </c>
      <c r="K8" s="5" t="s">
        <v>5</v>
      </c>
      <c r="L8" s="7" t="s">
        <v>73</v>
      </c>
      <c r="M8" s="7" t="s">
        <v>49</v>
      </c>
      <c r="N8" s="6" t="s">
        <v>57</v>
      </c>
      <c r="O8" s="7"/>
      <c r="P8" s="6" t="s">
        <v>57</v>
      </c>
      <c r="Q8" s="7" t="s">
        <v>49</v>
      </c>
      <c r="R8" s="6" t="s">
        <v>57</v>
      </c>
      <c r="S8" s="6" t="s">
        <v>57</v>
      </c>
      <c r="T8" s="7"/>
    </row>
    <row r="9" spans="1:20" x14ac:dyDescent="0.25">
      <c r="A9" s="5" t="s">
        <v>13</v>
      </c>
      <c r="B9" s="9" t="s">
        <v>80</v>
      </c>
      <c r="C9" s="6">
        <f t="shared" si="1"/>
        <v>30000</v>
      </c>
      <c r="D9" s="6" t="s">
        <v>57</v>
      </c>
      <c r="E9" s="6">
        <v>19200</v>
      </c>
      <c r="F9" s="6">
        <v>4800</v>
      </c>
      <c r="G9" s="6">
        <v>6000</v>
      </c>
      <c r="H9" s="7">
        <v>20</v>
      </c>
      <c r="I9" s="7">
        <v>3</v>
      </c>
      <c r="J9" s="6" t="s">
        <v>57</v>
      </c>
      <c r="K9" s="5" t="s">
        <v>5</v>
      </c>
      <c r="L9" s="7" t="s">
        <v>75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6" t="s">
        <v>57</v>
      </c>
      <c r="T9" s="7"/>
    </row>
    <row r="10" spans="1:20" x14ac:dyDescent="0.25">
      <c r="A10" s="5" t="s">
        <v>14</v>
      </c>
      <c r="B10" s="9" t="s">
        <v>79</v>
      </c>
      <c r="C10" s="6">
        <f t="shared" si="1"/>
        <v>101766</v>
      </c>
      <c r="D10" s="6" t="s">
        <v>57</v>
      </c>
      <c r="E10" s="6">
        <v>61059</v>
      </c>
      <c r="F10" s="6">
        <v>20353</v>
      </c>
      <c r="G10" s="6">
        <v>20354</v>
      </c>
      <c r="H10" s="7">
        <v>9</v>
      </c>
      <c r="I10" s="7">
        <v>27</v>
      </c>
      <c r="J10" s="6" t="s">
        <v>57</v>
      </c>
      <c r="K10" s="5" t="s">
        <v>5</v>
      </c>
      <c r="L10" s="7"/>
      <c r="M10" s="7" t="s">
        <v>49</v>
      </c>
      <c r="N10" s="6" t="s">
        <v>57</v>
      </c>
      <c r="O10" s="7" t="s">
        <v>49</v>
      </c>
      <c r="P10" s="6" t="s">
        <v>57</v>
      </c>
      <c r="Q10" s="6" t="s">
        <v>57</v>
      </c>
      <c r="R10" s="7" t="s">
        <v>49</v>
      </c>
      <c r="S10" s="6" t="s">
        <v>57</v>
      </c>
      <c r="T10" s="7"/>
    </row>
    <row r="11" spans="1:20" x14ac:dyDescent="0.25">
      <c r="A11" s="5" t="s">
        <v>15</v>
      </c>
      <c r="B11" s="5" t="s">
        <v>29</v>
      </c>
      <c r="C11" s="6">
        <f t="shared" si="1"/>
        <v>197080</v>
      </c>
      <c r="D11" s="6" t="s">
        <v>57</v>
      </c>
      <c r="E11" s="6">
        <v>157638</v>
      </c>
      <c r="F11" s="6">
        <v>19722</v>
      </c>
      <c r="G11" s="6">
        <v>19720</v>
      </c>
      <c r="H11" s="7">
        <v>50</v>
      </c>
      <c r="I11" s="7">
        <v>1</v>
      </c>
      <c r="J11" s="6" t="s">
        <v>57</v>
      </c>
      <c r="K11" s="5" t="s">
        <v>2</v>
      </c>
      <c r="L11" s="7"/>
      <c r="M11" s="7" t="s">
        <v>49</v>
      </c>
      <c r="N11" s="6" t="s">
        <v>57</v>
      </c>
      <c r="O11" s="7"/>
      <c r="P11" s="6" t="s">
        <v>57</v>
      </c>
      <c r="Q11" s="6" t="s">
        <v>57</v>
      </c>
      <c r="R11" s="6" t="s">
        <v>57</v>
      </c>
      <c r="S11" s="6" t="s">
        <v>57</v>
      </c>
      <c r="T11" s="7"/>
    </row>
    <row r="12" spans="1:20" x14ac:dyDescent="0.25">
      <c r="A12" s="5" t="s">
        <v>16</v>
      </c>
      <c r="B12" s="5" t="s">
        <v>30</v>
      </c>
      <c r="C12" s="6">
        <f t="shared" si="1"/>
        <v>9873</v>
      </c>
      <c r="D12" s="6" t="s">
        <v>57</v>
      </c>
      <c r="E12" s="6">
        <v>6318</v>
      </c>
      <c r="F12" s="6">
        <v>1580</v>
      </c>
      <c r="G12" s="6">
        <v>1975</v>
      </c>
      <c r="H12" s="7">
        <v>32</v>
      </c>
      <c r="I12" s="7">
        <v>0</v>
      </c>
      <c r="J12" s="6" t="s">
        <v>57</v>
      </c>
      <c r="K12" s="5" t="s">
        <v>8</v>
      </c>
      <c r="L12" s="7"/>
      <c r="M12" s="7" t="s">
        <v>49</v>
      </c>
      <c r="N12" s="6" t="s">
        <v>57</v>
      </c>
      <c r="O12" s="7"/>
      <c r="P12" s="6" t="s">
        <v>57</v>
      </c>
      <c r="Q12" s="6" t="s">
        <v>57</v>
      </c>
      <c r="R12" s="6" t="s">
        <v>57</v>
      </c>
      <c r="S12" s="6" t="s">
        <v>57</v>
      </c>
      <c r="T12" s="7"/>
    </row>
    <row r="13" spans="1:20" x14ac:dyDescent="0.25">
      <c r="A13" s="5" t="s">
        <v>17</v>
      </c>
      <c r="B13" s="5" t="s">
        <v>31</v>
      </c>
      <c r="C13" s="6">
        <f t="shared" si="1"/>
        <v>98049</v>
      </c>
      <c r="D13" s="6" t="s">
        <v>57</v>
      </c>
      <c r="E13" s="6">
        <v>62751</v>
      </c>
      <c r="F13" s="6">
        <v>15688</v>
      </c>
      <c r="G13" s="6">
        <v>19610</v>
      </c>
      <c r="H13" s="7">
        <v>28</v>
      </c>
      <c r="I13" s="7">
        <v>0</v>
      </c>
      <c r="J13" s="6" t="s">
        <v>57</v>
      </c>
      <c r="K13" s="5" t="s">
        <v>5</v>
      </c>
      <c r="L13" s="7"/>
      <c r="M13" s="7" t="s">
        <v>49</v>
      </c>
      <c r="N13" s="6" t="s">
        <v>57</v>
      </c>
      <c r="O13" s="7"/>
      <c r="P13" s="6" t="s">
        <v>57</v>
      </c>
      <c r="Q13" s="6" t="s">
        <v>57</v>
      </c>
      <c r="R13" s="6" t="s">
        <v>57</v>
      </c>
      <c r="S13" s="6" t="s">
        <v>57</v>
      </c>
      <c r="T13" s="7"/>
    </row>
    <row r="14" spans="1:20" x14ac:dyDescent="0.25">
      <c r="A14" s="5" t="s">
        <v>18</v>
      </c>
      <c r="B14" s="5" t="s">
        <v>32</v>
      </c>
      <c r="C14" s="6">
        <f t="shared" si="1"/>
        <v>22784</v>
      </c>
      <c r="D14" s="6" t="s">
        <v>57</v>
      </c>
      <c r="E14" s="6">
        <v>14581</v>
      </c>
      <c r="F14" s="6">
        <v>3646</v>
      </c>
      <c r="G14" s="6">
        <v>4557</v>
      </c>
      <c r="H14" s="7">
        <v>16</v>
      </c>
      <c r="I14" s="7">
        <v>0</v>
      </c>
      <c r="J14" s="6" t="s">
        <v>57</v>
      </c>
      <c r="K14" s="5" t="s">
        <v>2</v>
      </c>
      <c r="L14" s="7"/>
      <c r="M14" s="7" t="s">
        <v>49</v>
      </c>
      <c r="N14" s="6" t="s">
        <v>57</v>
      </c>
      <c r="O14" s="7"/>
      <c r="P14" s="6" t="s">
        <v>57</v>
      </c>
      <c r="Q14" s="6" t="s">
        <v>57</v>
      </c>
      <c r="R14" s="6" t="s">
        <v>57</v>
      </c>
      <c r="S14" s="6" t="s">
        <v>57</v>
      </c>
      <c r="T14" s="7"/>
    </row>
    <row r="15" spans="1:20" x14ac:dyDescent="0.25">
      <c r="A15" s="5" t="s">
        <v>19</v>
      </c>
      <c r="B15" s="5" t="s">
        <v>20</v>
      </c>
      <c r="C15" s="6">
        <f t="shared" si="1"/>
        <v>1338</v>
      </c>
      <c r="D15" s="6" t="s">
        <v>57</v>
      </c>
      <c r="E15" s="6">
        <v>856</v>
      </c>
      <c r="F15" s="6">
        <v>214</v>
      </c>
      <c r="G15" s="6">
        <v>268</v>
      </c>
      <c r="H15" s="7">
        <v>3</v>
      </c>
      <c r="I15" s="7">
        <v>3</v>
      </c>
      <c r="J15" s="6" t="s">
        <v>57</v>
      </c>
      <c r="K15" s="5" t="s">
        <v>2</v>
      </c>
      <c r="L15" s="7"/>
      <c r="M15" s="7" t="s">
        <v>49</v>
      </c>
      <c r="N15" s="6" t="s">
        <v>57</v>
      </c>
      <c r="O15" s="7"/>
      <c r="P15" s="6" t="s">
        <v>57</v>
      </c>
      <c r="Q15" s="6" t="s">
        <v>57</v>
      </c>
      <c r="R15" s="6" t="s">
        <v>57</v>
      </c>
      <c r="S15" s="6" t="s">
        <v>57</v>
      </c>
      <c r="T15" s="7"/>
    </row>
    <row r="16" spans="1:20" x14ac:dyDescent="0.25">
      <c r="A16" s="5" t="s">
        <v>21</v>
      </c>
      <c r="B16" s="5" t="s">
        <v>22</v>
      </c>
      <c r="C16" s="6">
        <f t="shared" si="1"/>
        <v>21613</v>
      </c>
      <c r="D16" s="6" t="s">
        <v>57</v>
      </c>
      <c r="E16" s="6">
        <v>13832</v>
      </c>
      <c r="F16" s="6">
        <v>3458</v>
      </c>
      <c r="G16" s="6">
        <v>4323</v>
      </c>
      <c r="H16" s="7">
        <v>17</v>
      </c>
      <c r="I16" s="7">
        <v>3</v>
      </c>
      <c r="J16" s="6" t="s">
        <v>57</v>
      </c>
      <c r="K16" s="5" t="s">
        <v>2</v>
      </c>
      <c r="L16" s="7"/>
      <c r="M16" s="7" t="s">
        <v>49</v>
      </c>
      <c r="N16" s="6" t="s">
        <v>57</v>
      </c>
      <c r="O16" s="7"/>
      <c r="P16" s="6" t="s">
        <v>57</v>
      </c>
      <c r="Q16" s="6" t="s">
        <v>57</v>
      </c>
      <c r="R16" s="6" t="s">
        <v>57</v>
      </c>
      <c r="S16" s="6" t="s">
        <v>57</v>
      </c>
      <c r="T16" s="7"/>
    </row>
    <row r="17" spans="1:20" x14ac:dyDescent="0.25">
      <c r="A17" s="5" t="s">
        <v>23</v>
      </c>
      <c r="B17" s="5" t="s">
        <v>24</v>
      </c>
      <c r="C17" s="6">
        <f t="shared" si="1"/>
        <v>130064</v>
      </c>
      <c r="D17" s="6" t="s">
        <v>57</v>
      </c>
      <c r="E17" s="6">
        <v>83240</v>
      </c>
      <c r="F17" s="6">
        <v>20811</v>
      </c>
      <c r="G17" s="6">
        <v>26013</v>
      </c>
      <c r="H17" s="7">
        <v>50</v>
      </c>
      <c r="I17" s="7">
        <v>0</v>
      </c>
      <c r="J17" s="6" t="s">
        <v>57</v>
      </c>
      <c r="K17" s="5" t="s">
        <v>5</v>
      </c>
      <c r="L17" s="7"/>
      <c r="M17" s="7" t="s">
        <v>49</v>
      </c>
      <c r="N17" s="6" t="s">
        <v>57</v>
      </c>
      <c r="O17" s="7"/>
      <c r="P17" s="6" t="s">
        <v>57</v>
      </c>
      <c r="Q17" s="6" t="s">
        <v>57</v>
      </c>
      <c r="R17" s="6" t="s">
        <v>57</v>
      </c>
      <c r="S17" s="6" t="s">
        <v>57</v>
      </c>
      <c r="T17" s="7"/>
    </row>
    <row r="18" spans="1:20" x14ac:dyDescent="0.25">
      <c r="A18" s="5" t="s">
        <v>25</v>
      </c>
      <c r="B18" s="5" t="s">
        <v>26</v>
      </c>
      <c r="C18" s="6">
        <f t="shared" si="1"/>
        <v>4839</v>
      </c>
      <c r="D18" s="6" t="s">
        <v>57</v>
      </c>
      <c r="E18" s="6">
        <v>3096</v>
      </c>
      <c r="F18" s="6">
        <v>775</v>
      </c>
      <c r="G18" s="6">
        <v>968</v>
      </c>
      <c r="H18" s="7">
        <v>5</v>
      </c>
      <c r="I18" s="7">
        <v>0</v>
      </c>
      <c r="J18" s="6" t="s">
        <v>57</v>
      </c>
      <c r="K18" s="5" t="s">
        <v>5</v>
      </c>
      <c r="L18" s="7"/>
      <c r="M18" s="7" t="s">
        <v>49</v>
      </c>
      <c r="N18" s="6" t="s">
        <v>57</v>
      </c>
      <c r="O18" s="7"/>
      <c r="P18" s="6" t="s">
        <v>57</v>
      </c>
      <c r="Q18" s="6" t="s">
        <v>57</v>
      </c>
      <c r="R18" s="6" t="s">
        <v>57</v>
      </c>
      <c r="S18" s="6" t="s">
        <v>57</v>
      </c>
      <c r="T18" s="7"/>
    </row>
    <row r="19" spans="1:20" x14ac:dyDescent="0.25">
      <c r="A19" s="5" t="s">
        <v>63</v>
      </c>
      <c r="B19" s="10" t="s">
        <v>64</v>
      </c>
      <c r="C19" s="6">
        <f>+E19+G19</f>
        <v>50473</v>
      </c>
      <c r="D19" s="6" t="s">
        <v>57</v>
      </c>
      <c r="E19" s="6">
        <v>40378</v>
      </c>
      <c r="F19" s="6" t="s">
        <v>57</v>
      </c>
      <c r="G19" s="6">
        <v>10095</v>
      </c>
      <c r="H19" s="7">
        <v>29</v>
      </c>
      <c r="I19" s="7">
        <v>0</v>
      </c>
      <c r="J19" s="6" t="s">
        <v>57</v>
      </c>
      <c r="K19" s="5"/>
      <c r="L19" s="7" t="s">
        <v>76</v>
      </c>
      <c r="M19" s="6" t="s">
        <v>57</v>
      </c>
      <c r="N19" s="6" t="s">
        <v>57</v>
      </c>
      <c r="O19" s="7"/>
      <c r="P19" s="6" t="s">
        <v>57</v>
      </c>
      <c r="Q19" s="7" t="s">
        <v>49</v>
      </c>
      <c r="R19" s="6" t="s">
        <v>57</v>
      </c>
      <c r="S19" s="6" t="s">
        <v>57</v>
      </c>
      <c r="T19" s="7"/>
    </row>
    <row r="20" spans="1:20" x14ac:dyDescent="0.25">
      <c r="A20" s="5" t="s">
        <v>65</v>
      </c>
      <c r="B20" s="10" t="s">
        <v>66</v>
      </c>
      <c r="C20" s="6">
        <f>+E20+G20</f>
        <v>10000</v>
      </c>
      <c r="D20" s="6" t="s">
        <v>57</v>
      </c>
      <c r="E20" s="6">
        <v>8000</v>
      </c>
      <c r="F20" s="6" t="s">
        <v>57</v>
      </c>
      <c r="G20" s="6">
        <v>2000</v>
      </c>
      <c r="H20" s="7">
        <v>5</v>
      </c>
      <c r="I20" s="7">
        <v>1</v>
      </c>
      <c r="J20" s="6" t="s">
        <v>57</v>
      </c>
      <c r="K20" s="5"/>
      <c r="L20" s="7" t="s">
        <v>72</v>
      </c>
      <c r="M20" s="6" t="s">
        <v>57</v>
      </c>
      <c r="N20" s="6" t="s">
        <v>57</v>
      </c>
      <c r="O20" s="7"/>
      <c r="P20" s="6" t="s">
        <v>57</v>
      </c>
      <c r="Q20" s="7" t="s">
        <v>49</v>
      </c>
      <c r="R20" s="6" t="s">
        <v>57</v>
      </c>
      <c r="S20" s="6" t="s">
        <v>57</v>
      </c>
      <c r="T20" s="7"/>
    </row>
    <row r="21" spans="1:20" x14ac:dyDescent="0.25">
      <c r="A21" s="5" t="s">
        <v>67</v>
      </c>
      <c r="B21" s="10" t="s">
        <v>68</v>
      </c>
      <c r="C21" s="6">
        <f>+E21+G21</f>
        <v>15100</v>
      </c>
      <c r="D21" s="6" t="s">
        <v>57</v>
      </c>
      <c r="E21" s="6">
        <v>12080</v>
      </c>
      <c r="F21" s="6" t="s">
        <v>57</v>
      </c>
      <c r="G21" s="6">
        <v>3020</v>
      </c>
      <c r="H21" s="7">
        <v>1</v>
      </c>
      <c r="I21" s="7">
        <v>29</v>
      </c>
      <c r="J21" s="6" t="s">
        <v>57</v>
      </c>
      <c r="K21" s="5"/>
      <c r="L21" s="7" t="s">
        <v>77</v>
      </c>
      <c r="M21" s="6" t="s">
        <v>57</v>
      </c>
      <c r="N21" s="6" t="s">
        <v>57</v>
      </c>
      <c r="O21" s="7"/>
      <c r="P21" s="6" t="s">
        <v>57</v>
      </c>
      <c r="Q21" s="7" t="s">
        <v>49</v>
      </c>
      <c r="R21" s="6" t="s">
        <v>57</v>
      </c>
      <c r="S21" s="6" t="s">
        <v>57</v>
      </c>
      <c r="T21" s="7"/>
    </row>
    <row r="22" spans="1:20" x14ac:dyDescent="0.25">
      <c r="A22" s="8" t="s">
        <v>57</v>
      </c>
      <c r="B22" s="9" t="s">
        <v>78</v>
      </c>
      <c r="C22" s="6">
        <f>+E22+F22+G22</f>
        <v>19019</v>
      </c>
      <c r="D22" s="6" t="s">
        <v>57</v>
      </c>
      <c r="E22" s="6">
        <v>15215</v>
      </c>
      <c r="F22" s="6">
        <v>1902</v>
      </c>
      <c r="G22" s="6">
        <v>1902</v>
      </c>
      <c r="H22" s="7">
        <v>10</v>
      </c>
      <c r="I22" s="7">
        <v>1</v>
      </c>
      <c r="J22" s="6" t="s">
        <v>57</v>
      </c>
      <c r="K22" s="5" t="s">
        <v>71</v>
      </c>
      <c r="L22" s="7"/>
      <c r="M22" s="6" t="s">
        <v>57</v>
      </c>
      <c r="N22" s="7" t="s">
        <v>49</v>
      </c>
      <c r="O22" s="7" t="s">
        <v>49</v>
      </c>
      <c r="P22" s="6" t="s">
        <v>57</v>
      </c>
      <c r="Q22" s="6" t="s">
        <v>57</v>
      </c>
      <c r="R22" s="7" t="s">
        <v>49</v>
      </c>
      <c r="S22" s="6" t="s">
        <v>57</v>
      </c>
      <c r="T22" s="7"/>
    </row>
    <row r="23" spans="1:20" x14ac:dyDescent="0.25">
      <c r="A23" s="8" t="s">
        <v>57</v>
      </c>
      <c r="B23" s="9" t="s">
        <v>69</v>
      </c>
      <c r="C23" s="6">
        <f>+E23+F23+G23</f>
        <v>43824</v>
      </c>
      <c r="D23" s="6" t="s">
        <v>57</v>
      </c>
      <c r="E23" s="6">
        <v>35058</v>
      </c>
      <c r="F23" s="6">
        <v>4383</v>
      </c>
      <c r="G23" s="6">
        <v>4383</v>
      </c>
      <c r="H23" s="7"/>
      <c r="I23" s="7"/>
      <c r="J23" s="6" t="s">
        <v>57</v>
      </c>
      <c r="K23" s="5" t="s">
        <v>2</v>
      </c>
      <c r="L23" s="7"/>
      <c r="M23" s="6" t="s">
        <v>57</v>
      </c>
      <c r="N23" s="7" t="s">
        <v>49</v>
      </c>
      <c r="O23" s="7" t="s">
        <v>49</v>
      </c>
      <c r="P23" s="6" t="s">
        <v>57</v>
      </c>
      <c r="Q23" s="6" t="s">
        <v>57</v>
      </c>
      <c r="R23" s="6" t="s">
        <v>57</v>
      </c>
      <c r="S23" s="6" t="s">
        <v>57</v>
      </c>
      <c r="T23" s="7"/>
    </row>
    <row r="24" spans="1:20" x14ac:dyDescent="0.25">
      <c r="A24" s="8" t="s">
        <v>57</v>
      </c>
      <c r="B24" s="9" t="s">
        <v>70</v>
      </c>
      <c r="C24" s="6">
        <f>+E24+F24+G24</f>
        <v>39644</v>
      </c>
      <c r="D24" s="6" t="s">
        <v>57</v>
      </c>
      <c r="E24" s="6">
        <v>31714</v>
      </c>
      <c r="F24" s="6">
        <v>3965</v>
      </c>
      <c r="G24" s="6">
        <v>3965</v>
      </c>
      <c r="H24" s="7"/>
      <c r="I24" s="7"/>
      <c r="J24" s="6" t="s">
        <v>57</v>
      </c>
      <c r="K24" s="5" t="s">
        <v>2</v>
      </c>
      <c r="L24" s="7"/>
      <c r="M24" s="6" t="s">
        <v>57</v>
      </c>
      <c r="N24" s="7" t="s">
        <v>49</v>
      </c>
      <c r="O24" s="7" t="s">
        <v>49</v>
      </c>
      <c r="P24" s="6" t="s">
        <v>57</v>
      </c>
      <c r="Q24" s="6" t="s">
        <v>57</v>
      </c>
      <c r="R24" s="6" t="s">
        <v>57</v>
      </c>
      <c r="S24" s="6" t="s">
        <v>57</v>
      </c>
      <c r="T24" s="7"/>
    </row>
    <row r="25" spans="1:20" x14ac:dyDescent="0.25">
      <c r="A25" s="8" t="s">
        <v>57</v>
      </c>
      <c r="B25" s="10" t="s">
        <v>59</v>
      </c>
      <c r="C25" s="6">
        <f>+E25+G25</f>
        <v>1476216</v>
      </c>
      <c r="D25" s="6" t="s">
        <v>57</v>
      </c>
      <c r="E25" s="6">
        <v>738108</v>
      </c>
      <c r="F25" s="6" t="s">
        <v>57</v>
      </c>
      <c r="G25" s="6">
        <v>738108</v>
      </c>
      <c r="H25" s="7">
        <v>4</v>
      </c>
      <c r="I25" s="7">
        <v>28</v>
      </c>
      <c r="J25" s="6" t="s">
        <v>57</v>
      </c>
      <c r="K25" s="5"/>
      <c r="L25" s="7"/>
      <c r="M25" s="6" t="s">
        <v>57</v>
      </c>
      <c r="N25" s="6" t="s">
        <v>57</v>
      </c>
      <c r="O25" s="7"/>
      <c r="P25" s="7" t="s">
        <v>49</v>
      </c>
      <c r="Q25" s="6" t="s">
        <v>57</v>
      </c>
      <c r="R25" s="6" t="s">
        <v>57</v>
      </c>
      <c r="S25" s="6" t="s">
        <v>57</v>
      </c>
      <c r="T25" s="7"/>
    </row>
    <row r="26" spans="1:20" x14ac:dyDescent="0.25">
      <c r="A26" s="8" t="s">
        <v>57</v>
      </c>
      <c r="B26" s="9" t="s">
        <v>81</v>
      </c>
      <c r="C26" s="6">
        <f>+E26+G26</f>
        <v>12330</v>
      </c>
      <c r="D26" s="6" t="s">
        <v>57</v>
      </c>
      <c r="E26" s="6">
        <v>6165</v>
      </c>
      <c r="F26" s="6" t="s">
        <v>57</v>
      </c>
      <c r="G26" s="6">
        <v>6165</v>
      </c>
      <c r="H26" s="7">
        <v>10</v>
      </c>
      <c r="I26" s="7">
        <v>8</v>
      </c>
      <c r="J26" s="6" t="s">
        <v>57</v>
      </c>
      <c r="K26" s="5"/>
      <c r="L26" s="7"/>
      <c r="M26" s="6" t="s">
        <v>57</v>
      </c>
      <c r="N26" s="7" t="s">
        <v>49</v>
      </c>
      <c r="O26" s="7" t="s">
        <v>49</v>
      </c>
      <c r="P26" s="7" t="s">
        <v>49</v>
      </c>
      <c r="Q26" s="6" t="s">
        <v>57</v>
      </c>
      <c r="R26" s="7" t="s">
        <v>49</v>
      </c>
      <c r="S26" s="6" t="s">
        <v>57</v>
      </c>
      <c r="T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non_TS_datasets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Zambrano</dc:creator>
  <cp:lastModifiedBy>Ricardo Zambrano</cp:lastModifiedBy>
  <dcterms:created xsi:type="dcterms:W3CDTF">2015-06-05T18:17:20Z</dcterms:created>
  <dcterms:modified xsi:type="dcterms:W3CDTF">2026-03-15T15:10:01Z</dcterms:modified>
</cp:coreProperties>
</file>